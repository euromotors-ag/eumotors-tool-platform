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f58e0660499acb/CARS práce/Customer - Car Trade24/"/>
    </mc:Choice>
  </mc:AlternateContent>
  <xr:revisionPtr revIDLastSave="8" documentId="8_{68289D99-DA9B-48FA-8BC6-BB2940B78B39}" xr6:coauthVersionLast="47" xr6:coauthVersionMax="47" xr10:uidLastSave="{66CDA14B-0422-454B-BCD2-8C74AC6A4973}"/>
  <bookViews>
    <workbookView xWindow="-28920" yWindow="-120" windowWidth="29040" windowHeight="15720" xr2:uid="{D099003E-6DC0-415D-9798-8B4DDD4DCD62}"/>
  </bookViews>
  <sheets>
    <sheet name="SWE" sheetId="3" r:id="rId1"/>
    <sheet name="GER" sheetId="4" r:id="rId2"/>
  </sheets>
  <definedNames>
    <definedName name="_xlnm._FilterDatabase" localSheetId="1" hidden="1">GER!$A$1:$BA$23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" i="4" l="1"/>
  <c r="V18" i="4" s="1"/>
  <c r="W18" i="4"/>
  <c r="X18" i="4" s="1"/>
  <c r="Y18" i="4" s="1"/>
  <c r="Z18" i="4" s="1"/>
  <c r="U19" i="4"/>
  <c r="V19" i="4" s="1"/>
  <c r="W19" i="4" s="1"/>
  <c r="X19" i="4" s="1"/>
  <c r="Y19" i="4" s="1"/>
  <c r="U20" i="4"/>
  <c r="V20" i="4" s="1"/>
  <c r="W20" i="4"/>
  <c r="X20" i="4" s="1"/>
  <c r="Y20" i="4" s="1"/>
  <c r="U21" i="4"/>
  <c r="V21" i="4" s="1"/>
  <c r="W21" i="4" s="1"/>
  <c r="X21" i="4" s="1"/>
  <c r="Y21" i="4" s="1"/>
  <c r="AD21" i="4" s="1"/>
  <c r="U22" i="4"/>
  <c r="V22" i="4" s="1"/>
  <c r="W22" i="4" s="1"/>
  <c r="X22" i="4" s="1"/>
  <c r="Y22" i="4" s="1"/>
  <c r="AD22" i="4" s="1"/>
  <c r="U23" i="4"/>
  <c r="V23" i="4" s="1"/>
  <c r="W23" i="4" s="1"/>
  <c r="X23" i="4" s="1"/>
  <c r="Y23" i="4" s="1"/>
  <c r="AB23" i="4" s="1"/>
  <c r="AC23" i="4" s="1"/>
  <c r="U3" i="3"/>
  <c r="V3" i="3" s="1"/>
  <c r="W3" i="3" s="1"/>
  <c r="X3" i="3" s="1"/>
  <c r="Y3" i="3" s="1"/>
  <c r="T10" i="4"/>
  <c r="AD19" i="4" l="1"/>
  <c r="AG19" i="4" s="1"/>
  <c r="Z19" i="4"/>
  <c r="AA19" i="4"/>
  <c r="AB19" i="4"/>
  <c r="AC19" i="4" s="1"/>
  <c r="AA23" i="4"/>
  <c r="AF23" i="4" s="1"/>
  <c r="Z23" i="4"/>
  <c r="Z22" i="4"/>
  <c r="AB22" i="4"/>
  <c r="AC22" i="4" s="1"/>
  <c r="AA22" i="4"/>
  <c r="AF22" i="4" s="1"/>
  <c r="AB21" i="4"/>
  <c r="AC21" i="4" s="1"/>
  <c r="AA21" i="4"/>
  <c r="AF21" i="4" s="1"/>
  <c r="Z21" i="4"/>
  <c r="AD20" i="4"/>
  <c r="AE20" i="4" s="1"/>
  <c r="AB20" i="4"/>
  <c r="AC20" i="4" s="1"/>
  <c r="AA20" i="4"/>
  <c r="AF20" i="4" s="1"/>
  <c r="Z20" i="4"/>
  <c r="AF19" i="4"/>
  <c r="AD18" i="4"/>
  <c r="AG18" i="4" s="1"/>
  <c r="AB18" i="4"/>
  <c r="AC18" i="4" s="1"/>
  <c r="AE18" i="4"/>
  <c r="AE22" i="4"/>
  <c r="AG22" i="4"/>
  <c r="AE21" i="4"/>
  <c r="AG21" i="4"/>
  <c r="AA18" i="4"/>
  <c r="AF18" i="4" s="1"/>
  <c r="AD23" i="4"/>
  <c r="U2" i="4"/>
  <c r="U2" i="3"/>
  <c r="V2" i="3" s="1"/>
  <c r="W2" i="3" s="1"/>
  <c r="X2" i="3" s="1"/>
  <c r="Y2" i="3" s="1"/>
  <c r="U17" i="4"/>
  <c r="AE19" i="4" l="1"/>
  <c r="AG20" i="4"/>
  <c r="AE23" i="4"/>
  <c r="AG23" i="4"/>
  <c r="Z3" i="3"/>
  <c r="V2" i="4"/>
  <c r="W2" i="4" s="1"/>
  <c r="X2" i="4" s="1"/>
  <c r="U3" i="4"/>
  <c r="V3" i="4" s="1"/>
  <c r="W3" i="4" s="1"/>
  <c r="X3" i="4" s="1"/>
  <c r="U4" i="4"/>
  <c r="V4" i="4" s="1"/>
  <c r="W4" i="4"/>
  <c r="X4" i="4"/>
  <c r="Y4" i="4"/>
  <c r="AB4" i="4" s="1"/>
  <c r="U5" i="4"/>
  <c r="V5" i="4" s="1"/>
  <c r="W5" i="4" s="1"/>
  <c r="X5" i="4" s="1"/>
  <c r="Y5" i="4" s="1"/>
  <c r="U6" i="4"/>
  <c r="V6" i="4"/>
  <c r="W6" i="4"/>
  <c r="X6" i="4" s="1"/>
  <c r="Y6" i="4" s="1"/>
  <c r="U7" i="4"/>
  <c r="V7" i="4" s="1"/>
  <c r="W7" i="4" s="1"/>
  <c r="X7" i="4" s="1"/>
  <c r="Y7" i="4" s="1"/>
  <c r="U8" i="4"/>
  <c r="V8" i="4"/>
  <c r="W8" i="4"/>
  <c r="X8" i="4" s="1"/>
  <c r="Y8" i="4" s="1"/>
  <c r="U9" i="4"/>
  <c r="V9" i="4" s="1"/>
  <c r="W9" i="4" s="1"/>
  <c r="X9" i="4" s="1"/>
  <c r="U10" i="4"/>
  <c r="V10" i="4" s="1"/>
  <c r="W10" i="4" s="1"/>
  <c r="X10" i="4" s="1"/>
  <c r="U11" i="4"/>
  <c r="V11" i="4" s="1"/>
  <c r="W11" i="4"/>
  <c r="X11" i="4" s="1"/>
  <c r="Y11" i="4" s="1"/>
  <c r="U12" i="4"/>
  <c r="V12" i="4"/>
  <c r="W12" i="4"/>
  <c r="X12" i="4" s="1"/>
  <c r="Y12" i="4" s="1"/>
  <c r="U13" i="4"/>
  <c r="V13" i="4"/>
  <c r="W13" i="4" s="1"/>
  <c r="X13" i="4" s="1"/>
  <c r="Y13" i="4" s="1"/>
  <c r="U14" i="4"/>
  <c r="V14" i="4" s="1"/>
  <c r="W14" i="4" s="1"/>
  <c r="X14" i="4" s="1"/>
  <c r="Y14" i="4" s="1"/>
  <c r="U15" i="4"/>
  <c r="V15" i="4" s="1"/>
  <c r="W15" i="4"/>
  <c r="X15" i="4" s="1"/>
  <c r="Y15" i="4" s="1"/>
  <c r="AB15" i="4" s="1"/>
  <c r="U16" i="4"/>
  <c r="V16" i="4" s="1"/>
  <c r="W16" i="4" s="1"/>
  <c r="X16" i="4" s="1"/>
  <c r="Y16" i="4" s="1"/>
  <c r="V17" i="4"/>
  <c r="W17" i="4" s="1"/>
  <c r="X17" i="4" s="1"/>
  <c r="Y17" i="4" s="1"/>
  <c r="Z5" i="4" l="1"/>
  <c r="AB5" i="4"/>
  <c r="AC5" i="4" s="1"/>
  <c r="Z16" i="4"/>
  <c r="AB16" i="4"/>
  <c r="AC16" i="4" s="1"/>
  <c r="AA6" i="4"/>
  <c r="AF6" i="4" s="1"/>
  <c r="AB6" i="4"/>
  <c r="AC6" i="4" s="1"/>
  <c r="AD7" i="4"/>
  <c r="AE7" i="4" s="1"/>
  <c r="AB7" i="4"/>
  <c r="AC7" i="4" s="1"/>
  <c r="Z13" i="4"/>
  <c r="AB13" i="4"/>
  <c r="AC13" i="4" s="1"/>
  <c r="Z14" i="4"/>
  <c r="AB14" i="4"/>
  <c r="AC14" i="4" s="1"/>
  <c r="Z17" i="4"/>
  <c r="AB17" i="4"/>
  <c r="AC17" i="4" s="1"/>
  <c r="AB12" i="4"/>
  <c r="AC12" i="4" s="1"/>
  <c r="AA8" i="4"/>
  <c r="AF8" i="4" s="1"/>
  <c r="AB8" i="4"/>
  <c r="AC8" i="4" s="1"/>
  <c r="AB11" i="4"/>
  <c r="AC11" i="4" s="1"/>
  <c r="AG7" i="4"/>
  <c r="AF15" i="4"/>
  <c r="AF14" i="4"/>
  <c r="AF13" i="4"/>
  <c r="AD8" i="4"/>
  <c r="AG8" i="4" s="1"/>
  <c r="AD5" i="4"/>
  <c r="AG5" i="4" s="1"/>
  <c r="AD4" i="4"/>
  <c r="AG4" i="4" s="1"/>
  <c r="AD3" i="3"/>
  <c r="AG3" i="3" s="1"/>
  <c r="AB3" i="3"/>
  <c r="AC3" i="3" s="1"/>
  <c r="AD15" i="4"/>
  <c r="AG15" i="4" s="1"/>
  <c r="AD14" i="4"/>
  <c r="AG14" i="4" s="1"/>
  <c r="AD13" i="4"/>
  <c r="AG13" i="4" s="1"/>
  <c r="AD12" i="4"/>
  <c r="AG12" i="4" s="1"/>
  <c r="AD6" i="4"/>
  <c r="AG6" i="4" s="1"/>
  <c r="AD17" i="4"/>
  <c r="AG17" i="4" s="1"/>
  <c r="AD11" i="4"/>
  <c r="AG11" i="4" s="1"/>
  <c r="AC15" i="4"/>
  <c r="AD16" i="4"/>
  <c r="AG16" i="4" s="1"/>
  <c r="AC4" i="4"/>
  <c r="Y2" i="4"/>
  <c r="AB2" i="4" s="1"/>
  <c r="Z15" i="4"/>
  <c r="AA5" i="4"/>
  <c r="AF5" i="4" s="1"/>
  <c r="AA11" i="4"/>
  <c r="AF11" i="4" s="1"/>
  <c r="Z11" i="4"/>
  <c r="AA3" i="3"/>
  <c r="AF3" i="3" s="1"/>
  <c r="AA12" i="4"/>
  <c r="AF12" i="4" s="1"/>
  <c r="AA16" i="4"/>
  <c r="AF16" i="4" s="1"/>
  <c r="Z12" i="4"/>
  <c r="Z8" i="4"/>
  <c r="AA7" i="4"/>
  <c r="AF7" i="4" s="1"/>
  <c r="Z6" i="4"/>
  <c r="AA14" i="4"/>
  <c r="AA15" i="4"/>
  <c r="Y3" i="4"/>
  <c r="Y10" i="4"/>
  <c r="Y9" i="4"/>
  <c r="Z7" i="4"/>
  <c r="AA13" i="4"/>
  <c r="AA4" i="4"/>
  <c r="AF4" i="4" s="1"/>
  <c r="Z4" i="4"/>
  <c r="AA17" i="4"/>
  <c r="AF17" i="4" s="1"/>
  <c r="Z3" i="4" l="1"/>
  <c r="AB3" i="4"/>
  <c r="AC3" i="4" s="1"/>
  <c r="AB9" i="4"/>
  <c r="AC9" i="4" s="1"/>
  <c r="AB10" i="4"/>
  <c r="AC10" i="4" s="1"/>
  <c r="AE3" i="3"/>
  <c r="AE17" i="4"/>
  <c r="AE4" i="4"/>
  <c r="AE14" i="4"/>
  <c r="AE5" i="4"/>
  <c r="AE11" i="4"/>
  <c r="AE6" i="4"/>
  <c r="AE12" i="4"/>
  <c r="AE13" i="4"/>
  <c r="AE8" i="4"/>
  <c r="AE16" i="4"/>
  <c r="AE15" i="4"/>
  <c r="AD2" i="3"/>
  <c r="AG2" i="3" s="1"/>
  <c r="AB2" i="3"/>
  <c r="AC2" i="3" s="1"/>
  <c r="AD10" i="4"/>
  <c r="AG10" i="4" s="1"/>
  <c r="AD3" i="4"/>
  <c r="AG3" i="4" s="1"/>
  <c r="AD2" i="4"/>
  <c r="AG2" i="4" s="1"/>
  <c r="AC2" i="4"/>
  <c r="AD9" i="4"/>
  <c r="AG9" i="4" s="1"/>
  <c r="Z2" i="4"/>
  <c r="AA2" i="4"/>
  <c r="AF2" i="4" s="1"/>
  <c r="Z10" i="4"/>
  <c r="AA10" i="4"/>
  <c r="AF10" i="4" s="1"/>
  <c r="AA3" i="4"/>
  <c r="AF3" i="4" s="1"/>
  <c r="AA9" i="4"/>
  <c r="AF9" i="4" s="1"/>
  <c r="Z9" i="4"/>
  <c r="AA2" i="3"/>
  <c r="AF2" i="3" s="1"/>
  <c r="Z2" i="3"/>
  <c r="AE2" i="3" l="1"/>
  <c r="AE2" i="4"/>
  <c r="AE10" i="4"/>
  <c r="AE9" i="4"/>
  <c r="AE3" i="4"/>
</calcChain>
</file>

<file path=xl/sharedStrings.xml><?xml version="1.0" encoding="utf-8"?>
<sst xmlns="http://schemas.openxmlformats.org/spreadsheetml/2006/main" count="450" uniqueCount="166">
  <si>
    <t>Feedback</t>
  </si>
  <si>
    <t>Source Country</t>
  </si>
  <si>
    <t>Target Country</t>
  </si>
  <si>
    <t>Datum</t>
  </si>
  <si>
    <t>No.</t>
  </si>
  <si>
    <t>Brand</t>
  </si>
  <si>
    <t>Model</t>
  </si>
  <si>
    <t>Engine</t>
  </si>
  <si>
    <t>Drive</t>
  </si>
  <si>
    <t>Fuel type</t>
  </si>
  <si>
    <t>milage</t>
  </si>
  <si>
    <t>Purchase price kr</t>
  </si>
  <si>
    <t>Purchase price €</t>
  </si>
  <si>
    <t>Colour</t>
  </si>
  <si>
    <t>SWE Link</t>
  </si>
  <si>
    <t>Purchase status</t>
  </si>
  <si>
    <t>Model Year</t>
  </si>
  <si>
    <t>No. of cars target country</t>
  </si>
  <si>
    <t>Germany</t>
  </si>
  <si>
    <t>VIN_No.</t>
  </si>
  <si>
    <t>Currency rate kr - CHF</t>
  </si>
  <si>
    <t>GER ex vat  + 8.1 % CHF</t>
  </si>
  <si>
    <t>car tax GER</t>
  </si>
  <si>
    <t>GER ex vat + 4.0 % Tax CHF</t>
  </si>
  <si>
    <t>Tansport costs GER</t>
  </si>
  <si>
    <t>Electro/PlugIn GER</t>
  </si>
  <si>
    <t>Prüfung GER</t>
  </si>
  <si>
    <t>Lowest price target country CHF</t>
  </si>
  <si>
    <t>TC abs profit after all costs</t>
  </si>
  <si>
    <t>TC rel profit after all costs</t>
  </si>
  <si>
    <t>Switzerland</t>
  </si>
  <si>
    <t>Target Country Link</t>
  </si>
  <si>
    <t>SWE ex vat kr</t>
  </si>
  <si>
    <t>SWE ex vat CHF</t>
  </si>
  <si>
    <t>SWE ex vat  + 8.1 % CHF</t>
  </si>
  <si>
    <t>SWE ex vat + 4.0 % Tax CHF</t>
  </si>
  <si>
    <t>Tansport costs SWE</t>
  </si>
  <si>
    <t>Electro/PlugIn SWE</t>
  </si>
  <si>
    <t>Prüfung SWE</t>
  </si>
  <si>
    <t>car tax SWE</t>
  </si>
  <si>
    <t>Sweden</t>
  </si>
  <si>
    <t>First Registration</t>
  </si>
  <si>
    <t>GER Link</t>
  </si>
  <si>
    <t>GER ex vat €</t>
  </si>
  <si>
    <t>GER ex vat CHF</t>
  </si>
  <si>
    <t>Currency rate € - CH</t>
  </si>
  <si>
    <t>Final buying price</t>
  </si>
  <si>
    <t>x</t>
  </si>
  <si>
    <t>Benzin</t>
  </si>
  <si>
    <t>% B2C Profit</t>
  </si>
  <si>
    <t>% B2B Profit</t>
  </si>
  <si>
    <t>Selling Price B2C</t>
  </si>
  <si>
    <t>Final Profit B2C</t>
  </si>
  <si>
    <t>Selling Price B2B</t>
  </si>
  <si>
    <t>Final Profit B2B</t>
  </si>
  <si>
    <t>Margin left for B2B</t>
  </si>
  <si>
    <t>Profit FOR B2B Dealer CHF</t>
  </si>
  <si>
    <t>https://suchen.mobile.de/fahrzeuge/details.html?id=423272574&amp;ao=PICTURES&amp;cn=DE&amp;dam=false&amp;fr=2025%3A&amp;ft=ELECTRICITY&amp;isSearchRequest=true&amp;ml=%3A5000&amp;ms=3500%3B331%3B%3B&amp;od=up&amp;pw=240%3A&amp;ref=srp&amp;refId=fd66ada3-6ae8-93b4-aa39-d19af355ab22&amp;s=Car&amp;sb=p&amp;searchId=fd66ada3-6ae8-93b4-aa39-d19af355ab22&amp;st=DEALER&amp;tr=AUTOMATIC_GEAR&amp;vc=Car</t>
  </si>
  <si>
    <t>Blue</t>
  </si>
  <si>
    <t>Elektro</t>
  </si>
  <si>
    <t>Automatic</t>
  </si>
  <si>
    <t>326 PS</t>
  </si>
  <si>
    <t>BMW</t>
  </si>
  <si>
    <t>iX 40 xDrive Park-Assistent ACC LenkradHZG Rückf</t>
  </si>
  <si>
    <t>https://www.autoscout24.ch/de/s/mo-ix/mk-bmw/ft-electric?firstRegistrationYearFrom=2025&amp;mileageTo=40000&amp;fuelTypeGroups%5B0=&amp;transmissionTypeGroups%5B0%5D=automatic&amp;gear=A&amp;custtype=D&amp;ocs_listing=include&amp;search_id=1scm5nxpib5&amp;hadNoAccidentOnly=true&amp;sort%5B0%5D%5Btype%5D=PRICE&amp;sort%5B0%5D%5Border%5D=ASC</t>
  </si>
  <si>
    <t>544 PS</t>
  </si>
  <si>
    <t>https://www.blocket.se/annons/1002555159</t>
  </si>
  <si>
    <t>iX xDrive60 Fully Charged M Sport Panorama Drag H/K 21''</t>
  </si>
  <si>
    <t>https://www.autoscout24.ch/de/s/mo-ix/mk-bmw/ft-electric?firstRegistrationYearFrom=2025&amp;mileageTo=40000&amp;fuelTypeGroups%5B0=&amp;transmissionTypeGroups%5B0%5D=automatic&amp;gear=A&amp;custtype=D&amp;ocs_listing=include&amp;search_id=1scm5nxpib5&amp;hadNoAccidentOnly=true&amp;horsePowerFrom=540&amp;sort%5B0%5D%5Btype%5D=PRICE&amp;sort%5B0%5D%5Border%5D=ASC</t>
  </si>
  <si>
    <t>https://www.autoscout24.ch/de/s/mo-ix/mk-bmw/ft-electric?firstRegistrationYearFrom=2025&amp;mileageTo=40000&amp;fuelTypeGroups%5B0=&amp;transmissionTypeGroups%5B0%5D=automatic&amp;gear=A&amp;custtype=D&amp;ocs_listing=include&amp;search_id=1scm5nxpib5&amp;hadNoAccidentOnly=true&amp;horsePowerFrom=520&amp;sort%5B0%5D%5Btype%5D=PRICE&amp;sort%5B0%5D%5Border%5D=ASC</t>
  </si>
  <si>
    <t>Black</t>
  </si>
  <si>
    <t>https://suchen.mobile.de/fahrzeuge/details.html?id=407850384&amp;ao=PICTURES&amp;cn=DE&amp;dam=false&amp;fr=2025%3A&amp;ft=ELECTRICITY&amp;isSearchRequest=true&amp;ml=%3A5000&amp;ms=3500%3B331%3B%3B&amp;od=up&amp;pw=301%3A&amp;ref=srp&amp;refId=38514537-ec10-2dfb-d9c3-0b950d953ac9&amp;s=Car&amp;sb=p&amp;searchId=38514537-ec10-2dfb-d9c3-0b950d953ac9&amp;st=DEALER&amp;tr=AUTOMATIC_GEAR&amp;vc=Car</t>
  </si>
  <si>
    <t>Gray</t>
  </si>
  <si>
    <t>523 PS</t>
  </si>
  <si>
    <t>iX xDrive50 Sport Laser DA-Prof 360° H/K Massage</t>
  </si>
  <si>
    <t>https://suchen.mobile.de/fahrzeuge/details.html?id=417295023&amp;ao=PICTURES&amp;c=Limousine&amp;c=SportsCar&amp;cn=DE&amp;dam=false&amp;fr=2024%3A&amp;ft=PETROL&amp;isSearchRequest=true&amp;it=LEATHER&amp;ml=%3A40000&amp;ms=17200%3B226%3B%3B&amp;ms=17200%3B256%3B%3B&amp;od=up&amp;pw=120%3A120&amp;ref=srp&amp;refId=cd84b376-d570-55c6-34c8-17bfb34f5551&amp;s=Car&amp;sb=p&amp;searchId=cd84b376-d570-55c6-34c8-17bfb34f5551&amp;st=DEALER&amp;tr=AUTOMATIC_GEAR&amp;vc=Car</t>
  </si>
  <si>
    <t>163 PS</t>
  </si>
  <si>
    <t>MB</t>
  </si>
  <si>
    <t>CLA 200 Coupé AMG Ambiente Rückfahrkamera LED</t>
  </si>
  <si>
    <t>https://suchen.mobile.de/fahrzeuge/details.html?id=422423917&amp;ao=PICTURES&amp;c=Limousine&amp;c=SportsCar&amp;cn=DE&amp;dam=false&amp;fr=2024%3A&amp;ft=PETROL&amp;isSearchRequest=true&amp;it=LEATHER&amp;ml=%3A40000&amp;ms=17200%3B226%3B%3B&amp;ms=17200%3B256%3B%3B&amp;od=up&amp;pw=120%3A120&amp;ref=srp&amp;refId=cd84b376-d570-55c6-34c8-17bfb34f5551&amp;s=Car&amp;sb=p&amp;searchId=cd84b376-d570-55c6-34c8-17bfb34f5551&amp;st=DEALER&amp;tr=AUTOMATIC_GEAR&amp;vc=Car</t>
  </si>
  <si>
    <t>CLA 200 Coupe AMG **Kamera+Totw.+Night</t>
  </si>
  <si>
    <t>https://www.autoscout24.ch/de/s/mo-cla-200/mk-mercedes-benz?firstRegistrationYearFrom=2024&amp;mileageTo=40000&amp;fuelTypeGroups%5B0=&amp;transmissionTypeGroups%5B0%5D=automatic&amp;kiloWattsFrom=120&amp;kiloWattsTo=120&amp;gear=M&amp;custtype=D&amp;ocs_listing=include&amp;size=20&amp;fc=20&amp;recommended_sorting_based_id=23d7e77e-8c2e-42a8-a589-bf227e471011&amp;search_id=1kt5cjprbt1&amp;hadNoAccidentOnly=true&amp;fuelTypes%5B0%5D=petrol&amp;fuelTypes%5B1%5D=mhev-petrol&amp;bodyTypes%5B0%5D=saloon&amp;bodyTypes%5B1%5D=coupe&amp;sort%5B0%5D%5Btype%5D=PRICE&amp;sort%5B0%5D%5Border%5D=ASC</t>
  </si>
  <si>
    <t>https://www.autoscout24.ch/de/s/mg-cla-class/mk-mercedes-benz?firstRegistrationYearFrom=2023&amp;mileageTo=40000&amp;fuelTypeGroups%5B0=&amp;transmissionTypeGroups%5B0%5D=automatic&amp;kiloWattsFrom=164&amp;gear=M&amp;custtype=D&amp;ocs_listing=include&amp;size=20&amp;fc=20&amp;recommended_sorting_based_id=23d7e77e-8c2e-42a8-a589-bf227e471011&amp;search_id=1kt5cjprbt1&amp;hadNoAccidentOnly=true&amp;fuelTypes%5B0%5D=petrol&amp;fuelTypes%5B1%5D=mhev-petrol&amp;bodyTypes%5B0%5D=saloon&amp;bodyTypes%5B1%5D=coupe&amp;equipmentSearchAttributes%5B0%5D=leather-seats&amp;sort%5B0%5D%5Btype%5D=PRICE&amp;sort%5B0%5D%5Border%5D=ASC</t>
  </si>
  <si>
    <t>https://www.autoscout24.ch/de/d/mercedes-benz-cla-250-4matic-8g-dct-12040163</t>
  </si>
  <si>
    <t>CLA 250 4Matic AMG Line+Pano+Night+360°+Ambiente</t>
  </si>
  <si>
    <t>224 PS</t>
  </si>
  <si>
    <t>https://suchen.mobile.de/fahrzeuge/details.html?id=420892046&amp;ao=PICTURES&amp;c=Limousine&amp;c=SportsCar&amp;cn=DE&amp;dam=false&amp;fr=2024%3A&amp;ft=PETROL&amp;isSearchRequest=true&amp;it=LEATHER&amp;ml=%3A40000&amp;ms=17200%3B228%3B%3B&amp;ms=17200%3B258%3B%3B&amp;od=up&amp;ref=srp&amp;refId=70c22cc0-d3c1-87d2-7215-fff79bb54ce7&amp;s=Car&amp;sb=p&amp;searchId=70c22cc0-d3c1-87d2-7215-fff79bb54ce7&amp;st=DEALER&amp;tr=AUTOMATIC_GEAR&amp;vc=Car</t>
  </si>
  <si>
    <t>https://suchen.mobile.de/fahrzeuge/details.html?id=418454787&amp;ao=PICTURES&amp;c=Limousine&amp;c=SportsCar&amp;cn=DE&amp;dam=false&amp;fr=2023%3A&amp;ft=PETROL&amp;isSearchRequest=true&amp;it=LEATHER&amp;ml=%3A40000&amp;ms=17200%3B228%3B%3B&amp;ms=17200%3B258%3B%3B&amp;od=up&amp;ref=srp&amp;refId=6e8ecde1-4c2d-2862-76cb-b97f0692a94a&amp;s=Car&amp;sb=p&amp;searchId=6e8ecde1-4c2d-2862-76cb-b97f0692a94a&amp;st=DEALER&amp;tr=AUTOMATIC_GEAR&amp;vc=Car</t>
  </si>
  <si>
    <t>CLA 250 4MATIC Coupé AMG LinePremium/Leder/Night</t>
  </si>
  <si>
    <t>https://suchen.mobile.de/fahrzeuge/details.html?id=418335693&amp;ao=PICTURES&amp;cn=DE&amp;dam=false&amp;ecol=SILVER&amp;fr=2024%3A&amp;ft=DIESEL&amp;isSearchRequest=true&amp;ml=%3A40000&amp;ms=1900%3B32%3B%3B&amp;od=up&amp;pw=150%3A150&amp;ref=srp&amp;refId=df433d15-e51d-2823-23c7-626630c1402a&amp;s=Car&amp;sb=p&amp;searchId=df433d15-e51d-2823-23c7-626630c1402a&amp;st=DEALER&amp;tr=AUTOMATIC_GEAR&amp;vc=Car</t>
  </si>
  <si>
    <t>Silver</t>
  </si>
  <si>
    <t>204 PS</t>
  </si>
  <si>
    <t>Audi</t>
  </si>
  <si>
    <t>Q5 40 TDI qu advanced Black AHK MATRIX STHZ CAM</t>
  </si>
  <si>
    <t>https://www.autoscout24.ch/de/s/mo-q5/mk-audi?firstRegistrationYearFrom=2024&amp;mileageTo=40000&amp;fuelTypeGroups%5B0=&amp;transmissionTypeGroups%5B0%5D=automatic&amp;kiloWattsFrom=150&amp;kiloWattsTo=150&amp;gear=A&amp;custtype=D&amp;ocs_listing=include&amp;size=20&amp;fc=40&amp;recommended_sorting_based_id=513bc40d-5456-4337-acec-442b28cf4d86&amp;search_id=yat2p898x6&amp;hadNoAccidentOnly=true&amp;fuelTypes%5B0%5D=diesel&amp;fuelTypes%5B1%5D=mhev-diesel&amp;sort%5B0%5D%5Btype%5D=PRICE&amp;sort%5B0%5D%5Border%5D=ASC</t>
  </si>
  <si>
    <t>Diesel</t>
  </si>
  <si>
    <t>https://suchen.mobile.de/fahrzeuge/details.html?id=419757481&amp;ao=PICTURES&amp;c=Limousine&amp;cn=DE&amp;dam=false&amp;dt=ALL_WHEEL&amp;fr=2023%3A&amp;ft=PETROL&amp;isSearchRequest=true&amp;ml=%3A40000&amp;ms=17200%3B%3B6%3B&amp;od=up&amp;pw=184%3A&amp;ref=srp&amp;refId=cc91d089-e2de-1c7a-032c-ad7b7e4b50c1&amp;s=Car&amp;sb=p&amp;searchId=cc91d089-e2de-1c7a-032c-ad7b7e4b50c1&amp;st=DEALER&amp;tr=AUTOMATIC_GEAR&amp;vc=Car</t>
  </si>
  <si>
    <t>258 PS</t>
  </si>
  <si>
    <t>C 300 4Matic AMG Line Premium Standheizung NAVI</t>
  </si>
  <si>
    <t>https://www.autoscout24.ch/de/s/mg-c-class/mk-mercedes-benz/bt-saloon?firstRegistrationYearFrom=2023&amp;mileageTo=40000&amp;fuelTypeGroups%5B0=&amp;transmissionTypeGroups%5B0%5D=automatic&amp;hadNoAccidentOnly=true&amp;fuelTypes%5B0%5D=petrol&amp;fuelTypes%5B1%5D=mhev-petrol&amp;driveTypes%5B0%5D=all&amp;kiloWattsFrom=190&amp;sort%5B0%5D%5Btype%5D=PRICE&amp;sort%5B0%5D%5Border%5D=ASC</t>
  </si>
  <si>
    <t>https://suchen.mobile.de/fahrzeuge/details.html?id=419937879&amp;ao=PICTURES&amp;c=Limousine&amp;cn=DE&amp;dam=false&amp;dt=ALL_WHEEL&amp;fr=2024%3A&amp;ft=PETROL&amp;isSearchRequest=true&amp;ml=%3A40000&amp;ms=17200%3B%3B6%3B&amp;od=up&amp;pw=184%3A&amp;ref=srp&amp;refId=b7fb9df4-4882-815e-2dc0-4b18322e35c6&amp;s=Car&amp;sb=p&amp;searchId=b7fb9df4-4882-815e-2dc0-4b18322e35c6&amp;st=DEALER&amp;tr=AUTOMATIC_GEAR&amp;vc=Car</t>
  </si>
  <si>
    <t> C 300 4MATIC *AMG*NIGHT*MBUX*KAMERA*NAVI*SHZ*</t>
  </si>
  <si>
    <t>https://www.autoscout24.ch/de/s/mg-c-class/mk-mercedes-benz/bt-saloon?firstRegistrationYearFrom=2024&amp;mileageTo=40000&amp;fuelTypeGroups%5B0=&amp;transmissionTypeGroups%5B0%5D=automatic&amp;hadNoAccidentOnly=true&amp;fuelTypes%5B0%5D=petrol&amp;fuelTypes%5B1%5D=mhev-petrol&amp;driveTypes%5B0%5D=all&amp;kiloWattsFrom=190&amp;sort%5B0%5D%5Btype%5D=PRICE&amp;sort%5B0%5D%5Border%5D=ASC</t>
  </si>
  <si>
    <t>https://suchen.mobile.de/fahrzeuge/details.html?id=418399519&amp;ao=PICTURES&amp;c=Limousine&amp;c=SportsCar&amp;cn=DE&amp;dam=false&amp;dt=ALL_WHEEL&amp;fr=2022%3A&amp;ft=DIESEL&amp;isSearchRequest=true&amp;ml=%3A40000&amp;ms=17200%3B%3B11%3Bamg&amp;od=up&amp;ref=srp&amp;refId=4d3085ce-b6a9-29b6-5fda-2747f6316186&amp;s=Car&amp;sb=p&amp;searchId=4d3085ce-b6a9-29b6-5fda-2747f6316186&amp;st=DEALER&amp;tr=AUTOMATIC_GEAR&amp;vc=Car</t>
  </si>
  <si>
    <t>265 PS</t>
  </si>
  <si>
    <t>E 300 d 4M Limousine AMG*DISTRONIC*360CAM*STHZG*</t>
  </si>
  <si>
    <t>https://www.autoscout24.ch/de/s/mg-e-class/mk-mercedes-benz/bt-saloon?firstRegistrationYearFrom=2022&amp;mileageTo=40000&amp;fuelTypeGroups%5B0=&amp;transmissionTypeGroups%5B0%5D=automatic&amp;hadNoAccidentOnly=true&amp;fuelTypes%5B0%5D=diesel&amp;fuelTypes%5B1%5D=mhev-diesel&amp;driveTypes%5B0%5D=all&amp;kiloWattsFrom=190&amp;sort%5B0%5D%5Btype%5D=PRICE&amp;sort%5B0%5D%5Border%5D=ASC</t>
  </si>
  <si>
    <t>https://suchen.mobile.de/fahrzeuge/details.html?id=414268252&amp;ao=PICTURES&amp;c=Limousine&amp;c=SportsCar&amp;cn=DE&amp;dam=false&amp;dt=ALL_WHEEL&amp;fr=2022%3A&amp;ft=DIESEL&amp;isSearchRequest=true&amp;ml=%3A40000&amp;ms=17200%3B%3B11%3Bamg&amp;od=up&amp;ref=srp&amp;refId=4d3085ce-b6a9-29b6-5fda-2747f6316186&amp;s=Car&amp;sb=p&amp;searchId=4d3085ce-b6a9-29b6-5fda-2747f6316186&amp;st=DEALER&amp;tr=AUTOMATIC_GEAR&amp;vc=Car</t>
  </si>
  <si>
    <t>E 300 d 4M Limousine AMG*DISTRONIC*360CAM*AHK*</t>
  </si>
  <si>
    <t>https://www.autoscout24.ch/de/s/mg-e-class/mk-mercedes-benz/bt-saloon?firstRegistrationYearFrom=2022&amp;mileageTo=70000&amp;fuelTypeGroups%5B0=&amp;transmissionTypeGroups%5B0%5D=automatic&amp;hadNoAccidentOnly=true&amp;fuelTypes%5B0%5D=diesel&amp;fuelTypes%5B1%5D=mhev-diesel&amp;driveTypes%5B0%5D=all&amp;kiloWattsFrom=240&amp;sort%5B0%5D%5Btype%5D=PRICE&amp;sort%5B0%5D%5Border%5D=ASC</t>
  </si>
  <si>
    <t>https://suchen.mobile.de/fahrzeuge/details.html?id=415737172&amp;ao=PICTURES&amp;c=Limousine&amp;c=SportsCar&amp;cn=DE&amp;dam=false&amp;dt=ALL_WHEEL&amp;fr=2022%3A&amp;ft=DIESEL&amp;isSearchRequest=true&amp;ml=%3A40000&amp;ms=17200%3B%3B11%3Bamg&amp;od=up&amp;pw=235%3A&amp;ref=srp&amp;refId=daff91a6-3b87-3d49-c220-c0829bf70afc&amp;s=Car&amp;sb=p&amp;searchId=daff91a6-3b87-3d49-c220-c0829bf70afc&amp;st=DEALER&amp;tr=AUTOMATIC_GEAR&amp;vc=Car</t>
  </si>
  <si>
    <t>330 PS</t>
  </si>
  <si>
    <t>E 400 d 4matic AMG **Kamera/Pano/Night</t>
  </si>
  <si>
    <t>https://suchen.mobile.de/fahrzeuge/details.html?id=413573820&amp;ao=PICTURES&amp;c=Limousine&amp;c=SportsCar&amp;cn=DE&amp;dam=false&amp;dt=ALL_WHEEL&amp;fr=2024%3A&amp;ft=PETROL&amp;isSearchRequest=true&amp;ml=%3A40000&amp;ms=17200%3B%3B11%3Bamg&amp;od=up&amp;ref=srp&amp;refId=d0efea37-5483-d18e-db0c-a106a194de1b&amp;s=Car&amp;sb=p&amp;searchId=d0efea37-5483-d18e-db0c-a106a194de1b&amp;st=DEALER&amp;tr=AUTOMATIC_GEAR&amp;vc=Car</t>
  </si>
  <si>
    <t>E 200 AMG SPORT Allrad | DISTRO/NIGHT/360°/SPUR/</t>
  </si>
  <si>
    <t>https://www.autoscout24.ch/de/s/mg-e-class/mk-mercedes-benz/bt-saloon?firstRegistrationYearFrom=2023&amp;mileageTo=70000&amp;fuelTypeGroups%5B0=&amp;transmissionTypeGroups%5B0%5D=automatic&amp;hadNoAccidentOnly=true&amp;fuelTypes%5B0%5D=mhev-petrol&amp;fuelTypes%5B1%5D=petrol&amp;driveTypes%5B0%5D=all&amp;sort%5B0%5D%5Btype%5D=PRICE&amp;sort%5B0%5D%5Border%5D=ASC</t>
  </si>
  <si>
    <t>https://suchen.mobile.de/fahrzeuge/details.html?id=419141568&amp;ao=PICTURES&amp;cn=DE&amp;dam=false&amp;fr=2024%3A&amp;ft=DIESEL&amp;isSearchRequest=true&amp;ml=%3A40000&amp;ms=17200%3B221%3B%3B&amp;od=up&amp;pw=140%3A140&amp;ref=srp&amp;refId=e1d48d2a-23f1-2857-eee3-81526f8737ba&amp;s=Car&amp;sb=p&amp;searchId=e1d48d2a-23f1-2857-eee3-81526f8737ba&amp;st=DEALER&amp;tr=AUTOMATIC_GEAR&amp;vc=Car</t>
  </si>
  <si>
    <t>190 PS</t>
  </si>
  <si>
    <t>A 220 d AMG Advanced PLUS/Multibeam/Memory/Totw</t>
  </si>
  <si>
    <t>https://www.autoscout24.ch/de/s/mg-a-class/mk-mercedes-benz?firstRegistrationYearFrom=2023&amp;mileageTo=40000&amp;fuelTypeGroups%5B0=&amp;transmissionTypeGroups%5B0%5D=automatic&amp;hadNoAccidentOnly=true&amp;fuelTypes%5B0%5D=diesel&amp;fuelTypes%5B1%5D=mhev-diesel&amp;horsePowerFrom=155&amp;sort%5B0%5D%5Btype%5D=PRICE&amp;sort%5B0%5D%5Border%5D=ASC</t>
  </si>
  <si>
    <t>https://www.blocket.se/annons/1002568699</t>
  </si>
  <si>
    <t>White</t>
  </si>
  <si>
    <t>136 PS</t>
  </si>
  <si>
    <t>A 180 / AMG/ PANO/ CARPLAY/ ANDROID/ BACKKAMER</t>
  </si>
  <si>
    <t>https://www.autoscout24.ch/de/s/mg-a-class/mk-mercedes-benz?firstRegistrationYearFrom=2022&amp;mileageTo=40000&amp;fuelTypeGroups%5B0=&amp;transmissionTypeGroups%5B0%5D=automatic&amp;hadNoAccidentOnly=true&amp;fuelTypes%5B0%5D=petrol&amp;fuelTypes%5B1%5D=mhev-petrol&amp;horsePowerTo=138&amp;sort%5B0%5D%5Btype%5D=PRICE&amp;sort%5B0%5D%5Border%5D=ASC</t>
  </si>
  <si>
    <t>https://suchen.mobile.de/fahrzeuge/details.html?id=422639117&amp;ao=PICTURES&amp;cn=DE&amp;dam=false&amp;fr=2022%3A&amp;ft=PETROL&amp;isSearchRequest=true&amp;ml=%3A40000&amp;ms=17200%3B%3B4%3B&amp;od=up&amp;pw=96%3A&amp;ref=srp&amp;refId=b8ecb27a-84b7-8829-3bb7-093f4f8cabd2&amp;s=Car&amp;sb=p&amp;searchId=b8ecb27a-84b7-8829-3bb7-093f4f8cabd2&amp;st=DEALER&amp;tr=AUTOMATIC_GEAR&amp;vc=Car</t>
  </si>
  <si>
    <t>A 200 AUT~Kamera~PDC~Navi~Spur~DigDisp~</t>
  </si>
  <si>
    <t>https://www.autoscout24.ch/de/s/mg-a-class/mk-mercedes-benz?firstRegistrationYearFrom=2021&amp;mileageTo=50000&amp;fuelTypeGroups%5B0=&amp;transmissionTypeGroups%5B0%5D=automatic&amp;hadNoAccidentOnly=true&amp;fuelTypes%5B0%5D=petrol&amp;fuelTypes%5B1%5D=mhev-petrol&amp;horsePowerFrom=160&amp;sort%5B0%5D%5Btype%5D=PRICE&amp;sort%5B0%5D%5Border%5D=ASC</t>
  </si>
  <si>
    <t>Q2 S-Line Black AHK-VORB.*LED*NAVI*5J.GAR. LED</t>
  </si>
  <si>
    <t>https://suchen.mobile.de/fahrzeuge/details.html?id=418358987&amp;ao=PICTURES&amp;cn=DE&amp;dam=false&amp;fr=2024%3A&amp;ft=PETROL&amp;isSearchRequest=true&amp;ml=%3A40000&amp;ms=1900%3B45%3B%3Bline&amp;od=up&amp;pw=114%3A&amp;ref=srp&amp;refId=0c3c5ae3-3875-8609-c87d-68da86198d2a&amp;s=Car&amp;sb=p&amp;searchId=0c3c5ae3-3875-8609-c87d-68da86198d2a&amp;st=DEALER&amp;tr=AUTOMATIC_GEAR&amp;vc=Car</t>
  </si>
  <si>
    <t>https://www.autoscout24.ch/de/s/mo-q2/mk-audi/ft-petrol?firstRegistrationYearFrom=2024&amp;mileageTo=40000&amp;fuelTypeGroups%5B0=&amp;transmissionTypeGroups%5B0%5D=automatic&amp;kiloWattsFrom=112&amp;kiloWattsTo=900&amp;gear=A&amp;custtype=D&amp;ocs_listing=include&amp;search_id=kxtptosl8s&amp;hadNoAccidentOnly=true&amp;sort%5B0%5D%5Btype%5D=PRICE&amp;sort%5B0%5D%5Border%5D=ASC</t>
  </si>
  <si>
    <t>https://suchen.mobile.de/fahrzeuge/details.html?id=422418001&amp;ao=PICTURES&amp;cn=DE&amp;dam=false&amp;fr=2024%3A&amp;ft=PETROL&amp;isSearchRequest=true&amp;ml=%3A40000&amp;ms=900%3B16%3B%3B&amp;od=up&amp;pw=206%3A206&amp;ref=srp&amp;refId=d34e9fb1-626f-6f2d-4bfd-892ccf4ee6f0&amp;s=Car&amp;sb=p&amp;searchId=d34e9fb1-626f-6f2d-4bfd-892ccf4ee6f0&amp;st=DEALER&amp;tr=AUTOMATIC_GEAR&amp;vc=Car</t>
  </si>
  <si>
    <t>280 PS</t>
  </si>
  <si>
    <t>Alfa Romeo</t>
  </si>
  <si>
    <t>Giulia TI 2.0 Turbo S/S AT8 280PS *4X4*MATRIX*</t>
  </si>
  <si>
    <t>https://www.autoscout24.ch/de/s/mo-giulia/mk-alfa-romeo?firstRegistrationYearFrom=2024&amp;mileageTo=40000&amp;transmissionTypeGroups%5B0%5D=automatic&amp;fuelTypes%5B0%5D=petrol&amp;fuelTypes%5B1%5D=mhev-petrol&amp;horsePowerFrom=270&amp;sort%5B0%5D%5Btype%5D=PRICE&amp;sort%5B0%5D%5Border%5D=ASC</t>
  </si>
  <si>
    <t>https://suchen.mobile.de/fahrzeuge/details.html?id=400105161&amp;action=eyeCatcher&amp;ao=PICTURES&amp;cn=DE&amp;dam=false&amp;fr=2023%3A&amp;ft=PETROL&amp;isSearchRequest=true&amp;ml=%3A40000&amp;ms=1900%3B27%3B%3B&amp;od=up&amp;pw=331%3A331&amp;ref=srp&amp;refId=a08086a2-f0cf-2787-5cd8-99977454e60e&amp;s=Car&amp;sb=p&amp;searchId=a08086a2-f0cf-2787-5cd8-99977454e60e&amp;st=DEALER&amp;tr=AUTOMATIC_GEAR&amp;vc=Car</t>
  </si>
  <si>
    <t>https://www.autoscout24.ch/de/s/mo-rs4/mk-audi/bt-estate/ft-petrol?firstRegistrationYearFrom=2023&amp;mileageTo=60000&amp;fuelTypeGroups%5B0=&amp;transmissionTypeGroups%5B0%5D=automatic&amp;kiloWattsFrom=331&amp;kiloWattsTo=1100&amp;gear=A&amp;custtype=D&amp;ocs_listing=include&amp;search_id=1qz0q42pg6&amp;hadNoAccidentOnly=true&amp;sort%5B0%5D%5Btype%5D=PRICE&amp;sort%5B0%5D%5Border%5D=ASC</t>
  </si>
  <si>
    <t>450 PS</t>
  </si>
  <si>
    <t>RS4 Avant Keramik/HuD/Matrix/Carbon/B&amp;O/Pano</t>
  </si>
  <si>
    <t>https://suchen.mobile.de/fahrzeuge/details.html?id=418964011&amp;ao=PICTURES&amp;cn=DE&amp;dam=false&amp;fr=2023%3A&amp;ft=PETROL&amp;isSearchRequest=true&amp;ml=%3A40000&amp;ms=1900%3B27%3B%3B&amp;od=up&amp;pw=331%3A331&amp;ref=srp&amp;refId=a08086a2-f0cf-2787-5cd8-99977454e60e&amp;s=Car&amp;sb=p&amp;searchId=a08086a2-f0cf-2787-5cd8-99977454e60e&amp;st=DEALER&amp;tr=AUTOMATIC_GEAR&amp;vc=Car</t>
  </si>
  <si>
    <t>RS4 RS 4 Avant 2.9 TFSI quattro</t>
  </si>
  <si>
    <t>https://www.autoscout24.ch/de/s/mo-tiguan/mk-vw?firstRegistrationYearFrom=2024&amp;mileageTo=40000&amp;fuelTypeGroups%5B0=&amp;kiloWattsFrom=140&amp;kiloWattsTo=750&amp;hadNoAccidentOnly=true&amp;fuelTypes%5B0%5D=petrol&amp;fuelTypes%5B1%5D=mhev-petrol&amp;transmissionTypeGroups%5B0%5D=automatic&amp;makeModelVersions%5B0%5D%5BversionFullName%5D=elegance&amp;sort%5B0%5D%5Btype%5D=PRICE&amp;sort%5B0%5D%5Border%5D=ASC</t>
  </si>
  <si>
    <t>https://suchen.mobile.de/fahrzeuge/details.html?id=420324164&amp;ao=PICTURES&amp;cn=DE&amp;dam=false&amp;fr=2024%3A&amp;ft=PETROL&amp;isSearchRequest=true&amp;ml=%3A40000&amp;ms=25200%3B54%3B%3Bele&amp;od=up&amp;pw=150%3A152&amp;ref=srp&amp;refId=8812b023-ae34-805d-0839-583cdff0088a&amp;s=Car&amp;sb=p&amp;searchId=8812b023-ae34-805d-0839-583cdff0088a&amp;st=DEALER&amp;tr=AUTOMATIC_GEAR&amp;vc=Car</t>
  </si>
  <si>
    <t>VW</t>
  </si>
  <si>
    <t>Tiguan 2.0 TSI DSG 4M Elegance AHK Navi LED Kam</t>
  </si>
  <si>
    <t>https://suchen.mobile.de/fahrzeuge/details.html?id=423322608&amp;ao=PICTURES&amp;c=EstateCar&amp;cn=DE&amp;dam=false&amp;fr=2023%3A&amp;ft=PETROL&amp;isSearchRequest=true&amp;ml=%3A40000&amp;ms=3500%3B118%3B%3B&amp;ms=3500%3B152%3B%3B&amp;od=up&amp;pw=275%3A275&amp;ref=srp&amp;refId=9d899a21-adf3-eea5-cd92-27cb35b2f984&amp;s=Car&amp;sb=p&amp;searchId=9d899a21-adf3-eea5-cd92-27cb35b2f984&amp;st=DEALER&amp;tr=AUTOMATIC_GEAR&amp;vc=Car</t>
  </si>
  <si>
    <t>374 PS</t>
  </si>
  <si>
    <t>M340i xDrive Touring Aut. Navi Bluetooth PDC MP3</t>
  </si>
  <si>
    <t>https://www.autoscout24.ch/de/s/mo-m340/mk-bmw/ft-mhev-petrol?firstRegistrationYearFrom=2023&amp;mileageTo=60000&amp;fuelTypeGroups%5B0=&amp;transmissionTypeGroups%5B0%5D=automatic&amp;kiloWattsFrom=275&amp;kiloWattsTo=275&amp;hadNoAccidentOnly=true&amp;bodyColors%5B0%5D=gray&amp;sort%5B0%5D%5Btype%5D=PRICE&amp;sort%5B0%5D%5Border%5D=ASC</t>
  </si>
  <si>
    <t>https://www.autoscout24.ch/de/s/mo-m340/mk-bmw/ft-mhev-petrol?firstRegistrationYearFrom=2023&amp;mileageTo=60000&amp;fuelTypeGroups%5B0=&amp;transmissionTypeGroups%5B0%5D=automatic&amp;kiloWattsFrom=275&amp;kiloWattsTo=275&amp;hadNoAccidentOnly=true&amp;bodyColors%5B0%5D=blue&amp;sort%5B0%5D%5Btype%5D=PRICE&amp;sort%5B0%5D%5Border%5D=ASC</t>
  </si>
  <si>
    <t>https://suchen.mobile.de/fahrzeuge/details.html?id=411257798&amp;ao=PICTURES&amp;c=EstateCar&amp;cn=DE&amp;dam=false&amp;fr=2023%3A&amp;ft=PETROL&amp;isSearchRequest=true&amp;ml=%3A40000&amp;ms=3500%3B118%3B%3B&amp;ms=3500%3B152%3B%3B&amp;od=up&amp;pw=275%3A275&amp;ref=srp&amp;refId=9d899a21-adf3-eea5-cd92-27cb35b2f984&amp;s=Car&amp;sb=p&amp;searchId=9d899a21-adf3-eea5-cd92-27cb35b2f984&amp;st=DEALER&amp;tr=AUTOMATIC_GEAR&amp;vc=Car</t>
  </si>
  <si>
    <t>M340i xDrive Touring [ACC, RFK, HiFi, 19" LMR]</t>
  </si>
  <si>
    <t>Online: 98 900</t>
  </si>
  <si>
    <t>Facelift</t>
  </si>
  <si>
    <t>W1K1770841V147514</t>
  </si>
  <si>
    <t>Check export - and all details</t>
  </si>
  <si>
    <t>Online: 38900</t>
  </si>
  <si>
    <t>Online: 49900</t>
  </si>
  <si>
    <t>Online: 59900</t>
  </si>
  <si>
    <t>Online: 62900</t>
  </si>
  <si>
    <t>Online: 39900</t>
  </si>
  <si>
    <t>Online: 36900</t>
  </si>
  <si>
    <t>5 years warrtany</t>
  </si>
  <si>
    <t>PANO IMPORTNAT</t>
  </si>
  <si>
    <t>Online: 28900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</si>
</sst>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7E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7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5" borderId="0" xfId="0" applyFill="1"/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1" fontId="0" fillId="8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14" fontId="4" fillId="5" borderId="1" xfId="0" applyNumberFormat="1" applyFont="1" applyFill="1" applyBorder="1" applyAlignment="1">
      <alignment horizontal="center"/>
    </xf>
    <xf numFmtId="0" fontId="0" fillId="5" borderId="0" xfId="0" applyFill="1" applyAlignment="1">
      <alignment horizontal="left"/>
    </xf>
    <xf numFmtId="0" fontId="0" fillId="10" borderId="1" xfId="0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0" fontId="6" fillId="11" borderId="2" xfId="0" applyFont="1" applyFill="1" applyBorder="1"/>
    <xf numFmtId="1" fontId="5" fillId="11" borderId="2" xfId="0" applyNumberFormat="1" applyFont="1" applyFill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2" fontId="0" fillId="6" borderId="1" xfId="0" applyNumberFormat="1" applyFill="1" applyBorder="1" applyAlignment="1">
      <alignment horizontal="center"/>
    </xf>
    <xf numFmtId="10" fontId="0" fillId="12" borderId="1" xfId="0" applyNumberFormat="1" applyFill="1" applyBorder="1" applyAlignment="1">
      <alignment horizontal="center"/>
    </xf>
    <xf numFmtId="10" fontId="0" fillId="6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14" fontId="3" fillId="5" borderId="1" xfId="0" applyNumberFormat="1" applyFont="1" applyFill="1" applyBorder="1" applyAlignment="1">
      <alignment horizontal="center"/>
    </xf>
    <xf numFmtId="0" fontId="1" fillId="11" borderId="2" xfId="1" applyFill="1" applyBorder="1"/>
    <xf numFmtId="0" fontId="3" fillId="13" borderId="1" xfId="0" applyFont="1" applyFill="1" applyBorder="1" applyAlignment="1">
      <alignment horizontal="center"/>
    </xf>
    <xf numFmtId="14" fontId="4" fillId="14" borderId="1" xfId="0" applyNumberFormat="1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14" fontId="3" fillId="14" borderId="1" xfId="0" applyNumberFormat="1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14" fontId="3" fillId="15" borderId="1" xfId="0" applyNumberFormat="1" applyFont="1" applyFill="1" applyBorder="1" applyAlignment="1">
      <alignment horizontal="center"/>
    </xf>
  </cellXfs>
  <cellStyles count="2">
    <cellStyle name="Hypertextový odkaz" xfId="1" builtinId="8"/>
    <cellStyle name="Normální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locket.se/annons/1002555159" TargetMode="External"/><Relationship Id="rId2" Type="http://schemas.openxmlformats.org/officeDocument/2006/relationships/hyperlink" Target="https://www.blocket.se/annons/1002568699" TargetMode="External"/><Relationship Id="rId1" Type="http://schemas.openxmlformats.org/officeDocument/2006/relationships/hyperlink" Target="https://www.autoscout24.ch/de/s/mg-a-class/mk-mercedes-benz?firstRegistrationYearFrom=2022&amp;mileageTo=40000&amp;fuelTypeGroups%5B0=&amp;transmissionTypeGroups%5B0%5D=automatic&amp;hadNoAccidentOnly=true&amp;fuelTypes%5B0%5D=petrol&amp;fuelTypes%5B1%5D=mhev-petrol&amp;horsePowerTo=138&amp;sort%5B0%5D%5Btype%5D=PRICE&amp;sort%5B0%5D%5Border%5D=ASC" TargetMode="External"/><Relationship Id="rId4" Type="http://schemas.openxmlformats.org/officeDocument/2006/relationships/hyperlink" Target="https://www.autoscout24.ch/de/s/mo-ix/mk-bmw/ft-electric?firstRegistrationYearFrom=2025&amp;mileageTo=40000&amp;fuelTypeGroups%5B0=&amp;transmissionTypeGroups%5B0%5D=automatic&amp;gear=A&amp;custtype=D&amp;ocs_listing=include&amp;search_id=1scm5nxpib5&amp;hadNoAccidentOnly=true&amp;horsePowerFrom=540&amp;sort%5B0%5D%5Btype%5D=PRICE&amp;sort%5B0%5D%5Border%5D=ASC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suchen.mobile.de/fahrzeuge/details.html?id=418399519&amp;ao=PICTURES&amp;c=Limousine&amp;c=SportsCar&amp;cn=DE&amp;dam=false&amp;dt=ALL_WHEEL&amp;fr=2022%3A&amp;ft=DIESEL&amp;isSearchRequest=true&amp;ml=%3A40000&amp;ms=17200%3B%3B11%3Bamg&amp;od=up&amp;ref=srp&amp;refId=4d3085ce-b6a9-29b6-5fda-2747f6316186&amp;s=Car&amp;sb=p&amp;searchId=4d3085ce-b6a9-29b6-5fda-2747f6316186&amp;st=DEALER&amp;tr=AUTOMATIC_GEAR&amp;vc=Car" TargetMode="External"/><Relationship Id="rId18" Type="http://schemas.openxmlformats.org/officeDocument/2006/relationships/hyperlink" Target="https://suchen.mobile.de/fahrzeuge/details.html?id=422639117&amp;ao=PICTURES&amp;cn=DE&amp;dam=false&amp;fr=2022%3A&amp;ft=PETROL&amp;isSearchRequest=true&amp;ml=%3A40000&amp;ms=17200%3B%3B4%3B&amp;od=up&amp;pw=96%3A&amp;ref=srp&amp;refId=b8ecb27a-84b7-8829-3bb7-093f4f8cabd2&amp;s=Car&amp;sb=p&amp;searchId=b8ecb27a-84b7-8829-3bb7-093f4f8cabd2&amp;st=DEALER&amp;tr=AUTOMATIC_GEAR&amp;vc=Car" TargetMode="External"/><Relationship Id="rId26" Type="http://schemas.openxmlformats.org/officeDocument/2006/relationships/hyperlink" Target="https://www.autoscout24.ch/de/s/mo-ix/mk-bmw/ft-electric?firstRegistrationYearFrom=2025&amp;mileageTo=40000&amp;fuelTypeGroups%5B0=&amp;transmissionTypeGroups%5B0%5D=automatic&amp;gear=A&amp;custtype=D&amp;ocs_listing=include&amp;search_id=1scm5nxpib5&amp;hadNoAccidentOnly=true&amp;horsePowerFrom=520&amp;sort%5B0%5D%5Btype%5D=PRICE&amp;sort%5B0%5D%5Border%5D=ASC" TargetMode="External"/><Relationship Id="rId39" Type="http://schemas.openxmlformats.org/officeDocument/2006/relationships/hyperlink" Target="https://www.autoscout24.ch/de/s/mo-m340/mk-bmw/ft-mhev-petrol?firstRegistrationYearFrom=2023&amp;mileageTo=60000&amp;fuelTypeGroups%5B0=&amp;transmissionTypeGroups%5B0%5D=automatic&amp;kiloWattsFrom=275&amp;kiloWattsTo=275&amp;hadNoAccidentOnly=true&amp;bodyColors%5B0%5D=blue&amp;sort%5B0%5D%5Btype%5D=PRICE&amp;sort%5B0%5D%5Border%5D=ASC" TargetMode="External"/><Relationship Id="rId21" Type="http://schemas.openxmlformats.org/officeDocument/2006/relationships/hyperlink" Target="https://suchen.mobile.de/fahrzeuge/details.html?id=418964011&amp;ao=PICTURES&amp;cn=DE&amp;dam=false&amp;fr=2023%3A&amp;ft=PETROL&amp;isSearchRequest=true&amp;ml=%3A40000&amp;ms=1900%3B27%3B%3B&amp;od=up&amp;pw=331%3A331&amp;ref=srp&amp;refId=a08086a2-f0cf-2787-5cd8-99977454e60e&amp;s=Car&amp;sb=p&amp;searchId=a08086a2-f0cf-2787-5cd8-99977454e60e&amp;st=DEALER&amp;tr=AUTOMATIC_GEAR&amp;vc=Car" TargetMode="External"/><Relationship Id="rId34" Type="http://schemas.openxmlformats.org/officeDocument/2006/relationships/hyperlink" Target="https://www.autoscout24.ch/de/s/mo-giulia/mk-alfa-romeo?firstRegistrationYearFrom=2024&amp;mileageTo=40000&amp;transmissionTypeGroups%5B0%5D=automatic&amp;fuelTypes%5B0%5D=petrol&amp;fuelTypes%5B1%5D=mhev-petrol&amp;horsePowerFrom=270&amp;sort%5B0%5D%5Btype%5D=PRICE&amp;sort%5B0%5D%5Border%5D=ASC" TargetMode="External"/><Relationship Id="rId7" Type="http://schemas.openxmlformats.org/officeDocument/2006/relationships/hyperlink" Target="https://suchen.mobile.de/fahrzeuge/details.html?id=423272574&amp;ao=PICTURES&amp;cn=DE&amp;dam=false&amp;fr=2025%3A&amp;ft=ELECTRICITY&amp;isSearchRequest=true&amp;ml=%3A5000&amp;ms=3500%3B331%3B%3B&amp;od=up&amp;pw=240%3A&amp;ref=srp&amp;refId=fd66ada3-6ae8-93b4-aa39-d19af355ab22&amp;s=Car&amp;sb=p&amp;searchId=fd66ada3-6ae8-93b4-aa39-d19af355ab22&amp;st=DEALER&amp;tr=AUTOMATIC_GEAR&amp;vc=Car" TargetMode="External"/><Relationship Id="rId12" Type="http://schemas.openxmlformats.org/officeDocument/2006/relationships/hyperlink" Target="https://suchen.mobile.de/fahrzeuge/details.html?id=418335693&amp;ao=PICTURES&amp;cn=DE&amp;dam=false&amp;ecol=SILVER&amp;fr=2024%3A&amp;ft=DIESEL&amp;isSearchRequest=true&amp;ml=%3A40000&amp;ms=1900%3B32%3B%3B&amp;od=up&amp;pw=150%3A150&amp;ref=srp&amp;refId=df433d15-e51d-2823-23c7-626630c1402a&amp;s=Car&amp;sb=p&amp;searchId=df433d15-e51d-2823-23c7-626630c1402a&amp;st=DEALER&amp;tr=AUTOMATIC_GEAR&amp;vc=Car" TargetMode="External"/><Relationship Id="rId17" Type="http://schemas.openxmlformats.org/officeDocument/2006/relationships/hyperlink" Target="https://suchen.mobile.de/fahrzeuge/details.html?id=419141568&amp;ao=PICTURES&amp;cn=DE&amp;dam=false&amp;fr=2024%3A&amp;ft=DIESEL&amp;isSearchRequest=true&amp;ml=%3A40000&amp;ms=17200%3B221%3B%3B&amp;od=up&amp;pw=140%3A140&amp;ref=srp&amp;refId=e1d48d2a-23f1-2857-eee3-81526f8737ba&amp;s=Car&amp;sb=p&amp;searchId=e1d48d2a-23f1-2857-eee3-81526f8737ba&amp;st=DEALER&amp;tr=AUTOMATIC_GEAR&amp;vc=Car" TargetMode="External"/><Relationship Id="rId25" Type="http://schemas.openxmlformats.org/officeDocument/2006/relationships/hyperlink" Target="https://www.autoscout24.ch/de/s/mo-ix/mk-bmw/ft-electric?firstRegistrationYearFrom=2025&amp;mileageTo=40000&amp;fuelTypeGroups%5B0=&amp;transmissionTypeGroups%5B0%5D=automatic&amp;gear=A&amp;custtype=D&amp;ocs_listing=include&amp;search_id=1scm5nxpib5&amp;hadNoAccidentOnly=true&amp;sort%5B0%5D%5Btype%5D=PRICE&amp;sort%5B0%5D%5Border%5D=ASC" TargetMode="External"/><Relationship Id="rId33" Type="http://schemas.openxmlformats.org/officeDocument/2006/relationships/hyperlink" Target="https://www.autoscout24.ch/de/s/mo-q2/mk-audi/ft-petrol?firstRegistrationYearFrom=2024&amp;mileageTo=40000&amp;fuelTypeGroups%5B0=&amp;transmissionTypeGroups%5B0%5D=automatic&amp;kiloWattsFrom=112&amp;kiloWattsTo=900&amp;gear=A&amp;custtype=D&amp;ocs_listing=include&amp;search_id=kxtptosl8s&amp;hadNoAccidentOnly=true&amp;sort%5B0%5D%5Btype%5D=PRICE&amp;sort%5B0%5D%5Border%5D=ASC" TargetMode="External"/><Relationship Id="rId38" Type="http://schemas.openxmlformats.org/officeDocument/2006/relationships/hyperlink" Target="https://www.autoscout24.ch/de/s/mo-m340/mk-bmw/ft-mhev-petrol?firstRegistrationYearFrom=2023&amp;mileageTo=60000&amp;fuelTypeGroups%5B0=&amp;transmissionTypeGroups%5B0%5D=automatic&amp;kiloWattsFrom=275&amp;kiloWattsTo=275&amp;hadNoAccidentOnly=true&amp;bodyColors%5B0%5D=gray&amp;sort%5B0%5D%5Btype%5D=PRICE&amp;sort%5B0%5D%5Border%5D=ASC" TargetMode="External"/><Relationship Id="rId2" Type="http://schemas.openxmlformats.org/officeDocument/2006/relationships/hyperlink" Target="https://www.autoscout24.ch/de/s/mo-q5/mk-audi?firstRegistrationYearFrom=2024&amp;mileageTo=40000&amp;fuelTypeGroups%5B0=&amp;transmissionTypeGroups%5B0%5D=automatic&amp;kiloWattsFrom=150&amp;kiloWattsTo=150&amp;gear=A&amp;custtype=D&amp;ocs_listing=include&amp;size=20&amp;fc=40&amp;recommended_sorting_based_id=513bc40d-5456-4337-acec-442b28cf4d86&amp;search_id=yat2p898x6&amp;hadNoAccidentOnly=true&amp;fuelTypes%5B0%5D=diesel&amp;fuelTypes%5B1%5D=mhev-diesel&amp;sort%5B0%5D%5Btype%5D=PRICE&amp;sort%5B0%5D%5Border%5D=ASC" TargetMode="External"/><Relationship Id="rId16" Type="http://schemas.openxmlformats.org/officeDocument/2006/relationships/hyperlink" Target="https://suchen.mobile.de/fahrzeuge/details.html?id=413573820&amp;ao=PICTURES&amp;c=Limousine&amp;c=SportsCar&amp;cn=DE&amp;dam=false&amp;dt=ALL_WHEEL&amp;fr=2024%3A&amp;ft=PETROL&amp;isSearchRequest=true&amp;ml=%3A40000&amp;ms=17200%3B%3B11%3Bamg&amp;od=up&amp;ref=srp&amp;refId=d0efea37-5483-d18e-db0c-a106a194de1b&amp;s=Car&amp;sb=p&amp;searchId=d0efea37-5483-d18e-db0c-a106a194de1b&amp;st=DEALER&amp;tr=AUTOMATIC_GEAR&amp;vc=Car" TargetMode="External"/><Relationship Id="rId20" Type="http://schemas.openxmlformats.org/officeDocument/2006/relationships/hyperlink" Target="https://suchen.mobile.de/fahrzeuge/details.html?id=422418001&amp;ao=PICTURES&amp;cn=DE&amp;dam=false&amp;fr=2024%3A&amp;ft=PETROL&amp;isSearchRequest=true&amp;ml=%3A40000&amp;ms=900%3B16%3B%3B&amp;od=up&amp;pw=206%3A206&amp;ref=srp&amp;refId=d34e9fb1-626f-6f2d-4bfd-892ccf4ee6f0&amp;s=Car&amp;sb=p&amp;searchId=d34e9fb1-626f-6f2d-4bfd-892ccf4ee6f0&amp;st=DEALER&amp;tr=AUTOMATIC_GEAR&amp;vc=Car" TargetMode="External"/><Relationship Id="rId29" Type="http://schemas.openxmlformats.org/officeDocument/2006/relationships/hyperlink" Target="https://www.autoscout24.ch/de/s/mg-e-class/mk-mercedes-benz/bt-saloon?firstRegistrationYearFrom=2022&amp;mileageTo=70000&amp;fuelTypeGroups%5B0=&amp;transmissionTypeGroups%5B0%5D=automatic&amp;hadNoAccidentOnly=true&amp;fuelTypes%5B0%5D=diesel&amp;fuelTypes%5B1%5D=mhev-diesel&amp;driveTypes%5B0%5D=all&amp;kiloWattsFrom=240&amp;sort%5B0%5D%5Btype%5D=PRICE&amp;sort%5B0%5D%5Border%5D=ASC" TargetMode="External"/><Relationship Id="rId1" Type="http://schemas.openxmlformats.org/officeDocument/2006/relationships/hyperlink" Target="https://suchen.mobile.de/fahrzeuge/details.html?id=420892046&amp;ao=PICTURES&amp;c=Limousine&amp;c=SportsCar&amp;cn=DE&amp;dam=false&amp;fr=2024%3A&amp;ft=PETROL&amp;isSearchRequest=true&amp;it=LEATHER&amp;ml=%3A40000&amp;ms=17200%3B228%3B%3B&amp;ms=17200%3B258%3B%3B&amp;od=up&amp;ref=srp&amp;refId=70c22cc0-d3c1-87d2-7215-fff79bb54ce7&amp;s=Car&amp;sb=p&amp;searchId=70c22cc0-d3c1-87d2-7215-fff79bb54ce7&amp;st=DEALER&amp;tr=AUTOMATIC_GEAR&amp;vc=Car" TargetMode="External"/><Relationship Id="rId6" Type="http://schemas.openxmlformats.org/officeDocument/2006/relationships/hyperlink" Target="https://suchen.mobile.de/fahrzeuge/details.html?id=400105161&amp;action=eyeCatcher&amp;ao=PICTURES&amp;cn=DE&amp;dam=false&amp;fr=2023%3A&amp;ft=PETROL&amp;isSearchRequest=true&amp;ml=%3A40000&amp;ms=1900%3B27%3B%3B&amp;od=up&amp;pw=331%3A331&amp;ref=srp&amp;refId=a08086a2-f0cf-2787-5cd8-99977454e60e&amp;s=Car&amp;sb=p&amp;searchId=a08086a2-f0cf-2787-5cd8-99977454e60e&amp;st=DEALER&amp;tr=AUTOMATIC_GEAR&amp;vc=Car" TargetMode="External"/><Relationship Id="rId11" Type="http://schemas.openxmlformats.org/officeDocument/2006/relationships/hyperlink" Target="https://suchen.mobile.de/fahrzeuge/details.html?id=418454787&amp;ao=PICTURES&amp;c=Limousine&amp;c=SportsCar&amp;cn=DE&amp;dam=false&amp;fr=2023%3A&amp;ft=PETROL&amp;isSearchRequest=true&amp;it=LEATHER&amp;ml=%3A40000&amp;ms=17200%3B228%3B%3B&amp;ms=17200%3B258%3B%3B&amp;od=up&amp;ref=srp&amp;refId=6e8ecde1-4c2d-2862-76cb-b97f0692a94a&amp;s=Car&amp;sb=p&amp;searchId=6e8ecde1-4c2d-2862-76cb-b97f0692a94a&amp;st=DEALER&amp;tr=AUTOMATIC_GEAR&amp;vc=Car" TargetMode="External"/><Relationship Id="rId24" Type="http://schemas.openxmlformats.org/officeDocument/2006/relationships/hyperlink" Target="https://suchen.mobile.de/fahrzeuge/details.html?id=411257798&amp;ao=PICTURES&amp;c=EstateCar&amp;cn=DE&amp;dam=false&amp;fr=2023%3A&amp;ft=PETROL&amp;isSearchRequest=true&amp;ml=%3A40000&amp;ms=3500%3B118%3B%3B&amp;ms=3500%3B152%3B%3B&amp;od=up&amp;pw=275%3A275&amp;ref=srp&amp;refId=9d899a21-adf3-eea5-cd92-27cb35b2f984&amp;s=Car&amp;sb=p&amp;searchId=9d899a21-adf3-eea5-cd92-27cb35b2f984&amp;st=DEALER&amp;tr=AUTOMATIC_GEAR&amp;vc=Car" TargetMode="External"/><Relationship Id="rId32" Type="http://schemas.openxmlformats.org/officeDocument/2006/relationships/hyperlink" Target="https://www.autoscout24.ch/de/s/mg-a-class/mk-mercedes-benz?firstRegistrationYearFrom=2021&amp;mileageTo=50000&amp;fuelTypeGroups%5B0=&amp;transmissionTypeGroups%5B0%5D=automatic&amp;hadNoAccidentOnly=true&amp;fuelTypes%5B0%5D=petrol&amp;fuelTypes%5B1%5D=mhev-petrol&amp;horsePowerFrom=160&amp;sort%5B0%5D%5Btype%5D=PRICE&amp;sort%5B0%5D%5Border%5D=ASC" TargetMode="External"/><Relationship Id="rId37" Type="http://schemas.openxmlformats.org/officeDocument/2006/relationships/hyperlink" Target="https://www.autoscout24.ch/de/s/mo-tiguan/mk-vw?firstRegistrationYearFrom=2024&amp;mileageTo=40000&amp;fuelTypeGroups%5B0=&amp;kiloWattsFrom=140&amp;kiloWattsTo=750&amp;hadNoAccidentOnly=true&amp;fuelTypes%5B0%5D=petrol&amp;fuelTypes%5B1%5D=mhev-petrol&amp;transmissionTypeGroups%5B0%5D=automatic&amp;makeModelVersions%5B0%5D%5BversionFullName%5D=elegance&amp;sort%5B0%5D%5Btype%5D=PRICE&amp;sort%5B0%5D%5Border%5D=ASC" TargetMode="External"/><Relationship Id="rId40" Type="http://schemas.openxmlformats.org/officeDocument/2006/relationships/hyperlink" Target="https://suchen.mobile.de/fahrzeuge/details.html?id=419937879&amp;ao=PICTURES&amp;c=Limousine&amp;cn=DE&amp;dam=false&amp;dt=ALL_WHEEL&amp;fr=2024%3A&amp;ft=PETROL&amp;isSearchRequest=true&amp;ml=%3A40000&amp;ms=17200%3B%3B6%3B&amp;od=up&amp;pw=184%3A&amp;ref=srp&amp;refId=b7fb9df4-4882-815e-2dc0-4b18322e35c6&amp;s=Car&amp;sb=p&amp;searchId=b7fb9df4-4882-815e-2dc0-4b18322e35c6&amp;st=DEALER&amp;tr=AUTOMATIC_GEAR&amp;vc=Car" TargetMode="External"/><Relationship Id="rId5" Type="http://schemas.openxmlformats.org/officeDocument/2006/relationships/hyperlink" Target="https://suchen.mobile.de/fahrzeuge/details.html?id=419757481&amp;ao=PICTURES&amp;c=Limousine&amp;cn=DE&amp;dam=false&amp;dt=ALL_WHEEL&amp;fr=2023%3A&amp;ft=PETROL&amp;isSearchRequest=true&amp;ml=%3A40000&amp;ms=17200%3B%3B6%3B&amp;od=up&amp;pw=184%3A&amp;ref=srp&amp;refId=cc91d089-e2de-1c7a-032c-ad7b7e4b50c1&amp;s=Car&amp;sb=p&amp;searchId=cc91d089-e2de-1c7a-032c-ad7b7e4b50c1&amp;st=DEALER&amp;tr=AUTOMATIC_GEAR&amp;vc=Car" TargetMode="External"/><Relationship Id="rId15" Type="http://schemas.openxmlformats.org/officeDocument/2006/relationships/hyperlink" Target="https://suchen.mobile.de/fahrzeuge/details.html?id=415737172&amp;ao=PICTURES&amp;c=Limousine&amp;c=SportsCar&amp;cn=DE&amp;dam=false&amp;dt=ALL_WHEEL&amp;fr=2022%3A&amp;ft=DIESEL&amp;isSearchRequest=true&amp;ml=%3A40000&amp;ms=17200%3B%3B11%3Bamg&amp;od=up&amp;pw=235%3A&amp;ref=srp&amp;refId=daff91a6-3b87-3d49-c220-c0829bf70afc&amp;s=Car&amp;sb=p&amp;searchId=daff91a6-3b87-3d49-c220-c0829bf70afc&amp;st=DEALER&amp;tr=AUTOMATIC_GEAR&amp;vc=Car" TargetMode="External"/><Relationship Id="rId23" Type="http://schemas.openxmlformats.org/officeDocument/2006/relationships/hyperlink" Target="https://suchen.mobile.de/fahrzeuge/details.html?id=423322608&amp;ao=PICTURES&amp;c=EstateCar&amp;cn=DE&amp;dam=false&amp;fr=2023%3A&amp;ft=PETROL&amp;isSearchRequest=true&amp;ml=%3A40000&amp;ms=3500%3B118%3B%3B&amp;ms=3500%3B152%3B%3B&amp;od=up&amp;pw=275%3A275&amp;ref=srp&amp;refId=9d899a21-adf3-eea5-cd92-27cb35b2f984&amp;s=Car&amp;sb=p&amp;searchId=9d899a21-adf3-eea5-cd92-27cb35b2f984&amp;st=DEALER&amp;tr=AUTOMATIC_GEAR&amp;vc=Car" TargetMode="External"/><Relationship Id="rId28" Type="http://schemas.openxmlformats.org/officeDocument/2006/relationships/hyperlink" Target="https://www.autoscout24.ch/de/s/mg-c-class/mk-mercedes-benz/bt-saloon?firstRegistrationYearFrom=2024&amp;mileageTo=40000&amp;fuelTypeGroups%5B0=&amp;transmissionTypeGroups%5B0%5D=automatic&amp;hadNoAccidentOnly=true&amp;fuelTypes%5B0%5D=petrol&amp;fuelTypes%5B1%5D=mhev-petrol&amp;driveTypes%5B0%5D=all&amp;kiloWattsFrom=190&amp;sort%5B0%5D%5Btype%5D=PRICE&amp;sort%5B0%5D%5Border%5D=ASC" TargetMode="External"/><Relationship Id="rId36" Type="http://schemas.openxmlformats.org/officeDocument/2006/relationships/hyperlink" Target="https://www.autoscout24.ch/de/s/mo-rs4/mk-audi/bt-estate/ft-petrol?firstRegistrationYearFrom=2023&amp;mileageTo=60000&amp;fuelTypeGroups%5B0=&amp;transmissionTypeGroups%5B0%5D=automatic&amp;kiloWattsFrom=331&amp;kiloWattsTo=1100&amp;gear=A&amp;custtype=D&amp;ocs_listing=include&amp;search_id=1qz0q42pg6&amp;hadNoAccidentOnly=true&amp;sort%5B0%5D%5Btype%5D=PRICE&amp;sort%5B0%5D%5Border%5D=ASC" TargetMode="External"/><Relationship Id="rId10" Type="http://schemas.openxmlformats.org/officeDocument/2006/relationships/hyperlink" Target="https://suchen.mobile.de/fahrzeuge/details.html?id=422423917&amp;ao=PICTURES&amp;c=Limousine&amp;c=SportsCar&amp;cn=DE&amp;dam=false&amp;fr=2024%3A&amp;ft=PETROL&amp;isSearchRequest=true&amp;it=LEATHER&amp;ml=%3A40000&amp;ms=17200%3B226%3B%3B&amp;ms=17200%3B256%3B%3B&amp;od=up&amp;pw=120%3A120&amp;ref=srp&amp;refId=cd84b376-d570-55c6-34c8-17bfb34f5551&amp;s=Car&amp;sb=p&amp;searchId=cd84b376-d570-55c6-34c8-17bfb34f5551&amp;st=DEALER&amp;tr=AUTOMATIC_GEAR&amp;vc=Car" TargetMode="External"/><Relationship Id="rId19" Type="http://schemas.openxmlformats.org/officeDocument/2006/relationships/hyperlink" Target="https://suchen.mobile.de/fahrzeuge/details.html?id=418358987&amp;ao=PICTURES&amp;cn=DE&amp;dam=false&amp;fr=2024%3A&amp;ft=PETROL&amp;isSearchRequest=true&amp;ml=%3A40000&amp;ms=1900%3B45%3B%3Bline&amp;od=up&amp;pw=114%3A&amp;ref=srp&amp;refId=0c3c5ae3-3875-8609-c87d-68da86198d2a&amp;s=Car&amp;sb=p&amp;searchId=0c3c5ae3-3875-8609-c87d-68da86198d2a&amp;st=DEALER&amp;tr=AUTOMATIC_GEAR&amp;vc=Car" TargetMode="External"/><Relationship Id="rId31" Type="http://schemas.openxmlformats.org/officeDocument/2006/relationships/hyperlink" Target="https://www.autoscout24.ch/de/s/mg-a-class/mk-mercedes-benz?firstRegistrationYearFrom=2023&amp;mileageTo=40000&amp;fuelTypeGroups%5B0=&amp;transmissionTypeGroups%5B0%5D=automatic&amp;hadNoAccidentOnly=true&amp;fuelTypes%5B0%5D=diesel&amp;fuelTypes%5B1%5D=mhev-diesel&amp;horsePowerFrom=155&amp;sort%5B0%5D%5Btype%5D=PRICE&amp;sort%5B0%5D%5Border%5D=ASC" TargetMode="External"/><Relationship Id="rId4" Type="http://schemas.openxmlformats.org/officeDocument/2006/relationships/hyperlink" Target="https://www.autoscout24.ch/de/s/mg-e-class/mk-mercedes-benz/bt-saloon?firstRegistrationYearFrom=2022&amp;mileageTo=40000&amp;fuelTypeGroups%5B0=&amp;transmissionTypeGroups%5B0%5D=automatic&amp;hadNoAccidentOnly=true&amp;fuelTypes%5B0%5D=diesel&amp;fuelTypes%5B1%5D=mhev-diesel&amp;driveTypes%5B0%5D=all&amp;kiloWattsFrom=190&amp;sort%5B0%5D%5Btype%5D=PRICE&amp;sort%5B0%5D%5Border%5D=ASC" TargetMode="External"/><Relationship Id="rId9" Type="http://schemas.openxmlformats.org/officeDocument/2006/relationships/hyperlink" Target="https://suchen.mobile.de/fahrzeuge/details.html?id=417295023&amp;ao=PICTURES&amp;c=Limousine&amp;c=SportsCar&amp;cn=DE&amp;dam=false&amp;fr=2024%3A&amp;ft=PETROL&amp;isSearchRequest=true&amp;it=LEATHER&amp;ml=%3A40000&amp;ms=17200%3B226%3B%3B&amp;ms=17200%3B256%3B%3B&amp;od=up&amp;pw=120%3A120&amp;ref=srp&amp;refId=cd84b376-d570-55c6-34c8-17bfb34f5551&amp;s=Car&amp;sb=p&amp;searchId=cd84b376-d570-55c6-34c8-17bfb34f5551&amp;st=DEALER&amp;tr=AUTOMATIC_GEAR&amp;vc=Car" TargetMode="External"/><Relationship Id="rId14" Type="http://schemas.openxmlformats.org/officeDocument/2006/relationships/hyperlink" Target="https://suchen.mobile.de/fahrzeuge/details.html?id=414268252&amp;ao=PICTURES&amp;c=Limousine&amp;c=SportsCar&amp;cn=DE&amp;dam=false&amp;dt=ALL_WHEEL&amp;fr=2022%3A&amp;ft=DIESEL&amp;isSearchRequest=true&amp;ml=%3A40000&amp;ms=17200%3B%3B11%3Bamg&amp;od=up&amp;ref=srp&amp;refId=4d3085ce-b6a9-29b6-5fda-2747f6316186&amp;s=Car&amp;sb=p&amp;searchId=4d3085ce-b6a9-29b6-5fda-2747f6316186&amp;st=DEALER&amp;tr=AUTOMATIC_GEAR&amp;vc=Car" TargetMode="External"/><Relationship Id="rId22" Type="http://schemas.openxmlformats.org/officeDocument/2006/relationships/hyperlink" Target="https://suchen.mobile.de/fahrzeuge/details.html?id=420324164&amp;ao=PICTURES&amp;cn=DE&amp;dam=false&amp;fr=2024%3A&amp;ft=PETROL&amp;isSearchRequest=true&amp;ml=%3A40000&amp;ms=25200%3B54%3B%3Bele&amp;od=up&amp;pw=150%3A152&amp;ref=srp&amp;refId=8812b023-ae34-805d-0839-583cdff0088a&amp;s=Car&amp;sb=p&amp;searchId=8812b023-ae34-805d-0839-583cdff0088a&amp;st=DEALER&amp;tr=AUTOMATIC_GEAR&amp;vc=Car" TargetMode="External"/><Relationship Id="rId27" Type="http://schemas.openxmlformats.org/officeDocument/2006/relationships/hyperlink" Target="https://www.autoscout24.ch/de/s/mg-c-class/mk-mercedes-benz/bt-saloon?firstRegistrationYearFrom=2023&amp;mileageTo=40000&amp;fuelTypeGroups%5B0=&amp;transmissionTypeGroups%5B0%5D=automatic&amp;hadNoAccidentOnly=true&amp;fuelTypes%5B0%5D=petrol&amp;fuelTypes%5B1%5D=mhev-petrol&amp;driveTypes%5B0%5D=all&amp;kiloWattsFrom=190&amp;sort%5B0%5D%5Btype%5D=PRICE&amp;sort%5B0%5D%5Border%5D=ASC" TargetMode="External"/><Relationship Id="rId30" Type="http://schemas.openxmlformats.org/officeDocument/2006/relationships/hyperlink" Target="https://www.autoscout24.ch/de/s/mg-e-class/mk-mercedes-benz/bt-saloon?firstRegistrationYearFrom=2023&amp;mileageTo=70000&amp;fuelTypeGroups%5B0=&amp;transmissionTypeGroups%5B0%5D=automatic&amp;hadNoAccidentOnly=true&amp;fuelTypes%5B0%5D=mhev-petrol&amp;fuelTypes%5B1%5D=petrol&amp;driveTypes%5B0%5D=all&amp;sort%5B0%5D%5Btype%5D=PRICE&amp;sort%5B0%5D%5Border%5D=ASC" TargetMode="External"/><Relationship Id="rId35" Type="http://schemas.openxmlformats.org/officeDocument/2006/relationships/hyperlink" Target="https://www.autoscout24.ch/de/s/mo-rs4/mk-audi/bt-estate/ft-petrol?firstRegistrationYearFrom=2023&amp;mileageTo=60000&amp;fuelTypeGroups%5B0=&amp;transmissionTypeGroups%5B0%5D=automatic&amp;kiloWattsFrom=331&amp;kiloWattsTo=1100&amp;gear=A&amp;custtype=D&amp;ocs_listing=include&amp;search_id=1qz0q42pg6&amp;hadNoAccidentOnly=true&amp;sort%5B0%5D%5Btype%5D=PRICE&amp;sort%5B0%5D%5Border%5D=ASC" TargetMode="External"/><Relationship Id="rId8" Type="http://schemas.openxmlformats.org/officeDocument/2006/relationships/hyperlink" Target="https://suchen.mobile.de/fahrzeuge/details.html?id=407850384&amp;ao=PICTURES&amp;cn=DE&amp;dam=false&amp;fr=2025%3A&amp;ft=ELECTRICITY&amp;isSearchRequest=true&amp;ml=%3A5000&amp;ms=3500%3B331%3B%3B&amp;od=up&amp;pw=301%3A&amp;ref=srp&amp;refId=38514537-ec10-2dfb-d9c3-0b950d953ac9&amp;s=Car&amp;sb=p&amp;searchId=38514537-ec10-2dfb-d9c3-0b950d953ac9&amp;st=DEALER&amp;tr=AUTOMATIC_GEAR&amp;vc=Car" TargetMode="External"/><Relationship Id="rId3" Type="http://schemas.openxmlformats.org/officeDocument/2006/relationships/hyperlink" Target="https://www.autoscout24.ch/de/s/mg-e-class/mk-mercedes-benz/bt-saloon?firstRegistrationYearFrom=2022&amp;mileageTo=40000&amp;fuelTypeGroups%5B0=&amp;transmissionTypeGroups%5B0%5D=automatic&amp;hadNoAccidentOnly=true&amp;fuelTypes%5B0%5D=diesel&amp;fuelTypes%5B1%5D=mhev-diesel&amp;driveTypes%5B0%5D=all&amp;kiloWattsFrom=190&amp;sort%5B0%5D%5Btype%5D=PRICE&amp;sort%5B0%5D%5Border%5D=A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972F-5739-4674-89D3-1BC008DEF95A}">
  <dimension ref="A1:BA12"/>
  <sheetViews>
    <sheetView tabSelected="1" zoomScale="130" zoomScaleNormal="130" workbookViewId="0">
      <pane ySplit="1" topLeftCell="A2" activePane="bottomLeft" state="frozen"/>
      <selection pane="bottomLeft" activeCell="G11" sqref="G11"/>
    </sheetView>
  </sheetViews>
  <sheetFormatPr defaultColWidth="11.42578125" defaultRowHeight="15" outlineLevelCol="1" x14ac:dyDescent="0.25"/>
  <cols>
    <col min="1" max="1" width="15.28515625" style="5" customWidth="1"/>
    <col min="2" max="2" width="21.28515625" style="5" customWidth="1"/>
    <col min="3" max="3" width="17" style="5" customWidth="1"/>
    <col min="4" max="4" width="20.140625" style="5" customWidth="1"/>
    <col min="5" max="5" width="13.85546875" style="5" bestFit="1" customWidth="1"/>
    <col min="6" max="6" width="10.28515625" style="5" bestFit="1" customWidth="1"/>
    <col min="7" max="7" width="25" style="5" bestFit="1" customWidth="1"/>
    <col min="8" max="8" width="16.42578125" style="5" bestFit="1" customWidth="1"/>
    <col min="9" max="9" width="58.5703125" style="5" bestFit="1" customWidth="1"/>
    <col min="10" max="10" width="18.28515625" style="5" customWidth="1"/>
    <col min="11" max="11" width="13.140625" style="5" customWidth="1"/>
    <col min="12" max="12" width="16.7109375" style="5" customWidth="1"/>
    <col min="13" max="13" width="17.28515625" style="5" customWidth="1"/>
    <col min="14" max="14" width="13.28515625" style="5" customWidth="1"/>
    <col min="15" max="15" width="24.42578125" style="5" bestFit="1" customWidth="1"/>
    <col min="16" max="16" width="18.28515625" style="5" customWidth="1"/>
    <col min="17" max="17" width="12.140625" style="15" customWidth="1"/>
    <col min="18" max="18" width="21.28515625" style="15" customWidth="1"/>
    <col min="19" max="19" width="29.5703125" style="5" customWidth="1" outlineLevel="1" collapsed="1"/>
    <col min="20" max="20" width="37" style="5" customWidth="1" outlineLevel="1"/>
    <col min="21" max="22" width="19.7109375" style="5" hidden="1" customWidth="1" outlineLevel="1"/>
    <col min="23" max="23" width="27.28515625" style="5" hidden="1" customWidth="1" outlineLevel="1"/>
    <col min="24" max="24" width="30.85546875" style="5" hidden="1" customWidth="1" outlineLevel="1"/>
    <col min="25" max="25" width="30.85546875" style="5" customWidth="1"/>
    <col min="26" max="26" width="29.42578125" style="5" customWidth="1"/>
    <col min="27" max="27" width="28.42578125" style="5" customWidth="1"/>
    <col min="28" max="31" width="13.28515625" style="5" customWidth="1"/>
    <col min="32" max="33" width="13.42578125" style="5" customWidth="1"/>
    <col min="34" max="39" width="11.42578125" style="5"/>
    <col min="40" max="40" width="21.5703125" style="5" bestFit="1" customWidth="1"/>
    <col min="41" max="41" width="16.140625" style="5" customWidth="1"/>
    <col min="42" max="42" width="8.5703125" style="5" customWidth="1"/>
    <col min="43" max="43" width="19.42578125" style="5" bestFit="1" customWidth="1"/>
    <col min="44" max="45" width="8.5703125" style="5" customWidth="1"/>
    <col min="46" max="46" width="20.140625" style="5" bestFit="1" customWidth="1"/>
    <col min="47" max="48" width="8.5703125" style="5" customWidth="1"/>
    <col min="49" max="49" width="15.7109375" style="5" bestFit="1" customWidth="1"/>
    <col min="50" max="51" width="11.42578125" style="5"/>
    <col min="52" max="52" width="13.42578125" style="5" bestFit="1" customWidth="1"/>
    <col min="53" max="16384" width="11.42578125" style="5"/>
  </cols>
  <sheetData>
    <row r="1" spans="1:53" x14ac:dyDescent="0.25">
      <c r="A1" s="1" t="s">
        <v>0</v>
      </c>
      <c r="B1" s="1" t="s">
        <v>15</v>
      </c>
      <c r="C1" s="2" t="s">
        <v>1</v>
      </c>
      <c r="D1" s="2" t="s">
        <v>2</v>
      </c>
      <c r="E1" s="2" t="s">
        <v>3</v>
      </c>
      <c r="F1" s="20" t="s">
        <v>4</v>
      </c>
      <c r="G1" s="2" t="s">
        <v>19</v>
      </c>
      <c r="H1" s="2" t="s">
        <v>5</v>
      </c>
      <c r="I1" s="2" t="s">
        <v>6</v>
      </c>
      <c r="J1" s="2" t="s">
        <v>16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13</v>
      </c>
      <c r="Q1" s="3" t="s">
        <v>14</v>
      </c>
      <c r="R1" s="3" t="s">
        <v>31</v>
      </c>
      <c r="S1" s="16" t="s">
        <v>17</v>
      </c>
      <c r="T1" s="16" t="s">
        <v>27</v>
      </c>
      <c r="U1" s="4" t="s">
        <v>32</v>
      </c>
      <c r="V1" s="4" t="s">
        <v>33</v>
      </c>
      <c r="W1" s="4" t="s">
        <v>34</v>
      </c>
      <c r="X1" s="4" t="s">
        <v>35</v>
      </c>
      <c r="Y1" s="4" t="s">
        <v>46</v>
      </c>
      <c r="Z1" s="17" t="s">
        <v>28</v>
      </c>
      <c r="AA1" s="17" t="s">
        <v>29</v>
      </c>
      <c r="AB1" s="17" t="s">
        <v>51</v>
      </c>
      <c r="AC1" s="17" t="s">
        <v>52</v>
      </c>
      <c r="AD1" s="17" t="s">
        <v>53</v>
      </c>
      <c r="AE1" s="17" t="s">
        <v>54</v>
      </c>
      <c r="AF1" s="17" t="s">
        <v>55</v>
      </c>
      <c r="AG1" s="17" t="s">
        <v>56</v>
      </c>
      <c r="AH1" s="6" t="s">
        <v>49</v>
      </c>
      <c r="AI1" s="26">
        <v>0.2</v>
      </c>
      <c r="AK1" s="6" t="s">
        <v>50</v>
      </c>
      <c r="AL1" s="26">
        <v>0.12</v>
      </c>
      <c r="AN1" s="6" t="s">
        <v>20</v>
      </c>
      <c r="AO1" s="7">
        <v>8.5699999999999998E-2</v>
      </c>
      <c r="AQ1" s="6" t="s">
        <v>36</v>
      </c>
      <c r="AR1" s="7">
        <v>1200</v>
      </c>
      <c r="AT1" s="6" t="s">
        <v>37</v>
      </c>
      <c r="AU1" s="7">
        <v>350</v>
      </c>
      <c r="AW1" s="6" t="s">
        <v>38</v>
      </c>
      <c r="AX1" s="7">
        <v>150</v>
      </c>
      <c r="AZ1" s="6" t="s">
        <v>39</v>
      </c>
      <c r="BA1" s="19">
        <v>0.04</v>
      </c>
    </row>
    <row r="2" spans="1:53" x14ac:dyDescent="0.25">
      <c r="A2" s="8" t="s">
        <v>154</v>
      </c>
      <c r="B2" s="9" t="s">
        <v>153</v>
      </c>
      <c r="C2" s="13" t="s">
        <v>40</v>
      </c>
      <c r="D2" s="13" t="s">
        <v>30</v>
      </c>
      <c r="E2" s="14">
        <v>45764</v>
      </c>
      <c r="F2" s="18">
        <v>1</v>
      </c>
      <c r="G2" s="18"/>
      <c r="H2" s="18" t="s">
        <v>62</v>
      </c>
      <c r="I2" s="18" t="s">
        <v>67</v>
      </c>
      <c r="J2" s="29">
        <v>45737</v>
      </c>
      <c r="K2" s="18" t="s">
        <v>65</v>
      </c>
      <c r="L2" s="18" t="s">
        <v>60</v>
      </c>
      <c r="M2" s="18" t="s">
        <v>59</v>
      </c>
      <c r="N2" s="18">
        <v>6000</v>
      </c>
      <c r="O2" s="18">
        <v>1022400</v>
      </c>
      <c r="P2" s="18" t="s">
        <v>58</v>
      </c>
      <c r="Q2" s="30" t="s">
        <v>66</v>
      </c>
      <c r="R2" s="30" t="s">
        <v>68</v>
      </c>
      <c r="S2" s="21">
        <v>6</v>
      </c>
      <c r="T2" s="23">
        <v>122800</v>
      </c>
      <c r="U2" s="10">
        <f>IF(O2="","",IF(C2="Sweden",O2/1.25,IF(C2="Germany",O2/1.19,IF(C2="Spain",O2/1.21,IF(C2="Poland",O2/1.23,IF(C2="France",O2/1.2))))))</f>
        <v>817920</v>
      </c>
      <c r="V2" s="10">
        <f>IF(O2="","",U2*$AO$1)</f>
        <v>70095.743999999992</v>
      </c>
      <c r="W2" s="10">
        <f>IF(O2="","",V2*1.081)</f>
        <v>75773.499263999984</v>
      </c>
      <c r="X2" s="10">
        <f>IF(O2="","",W2*(1+$BA$1))</f>
        <v>78804.439234559992</v>
      </c>
      <c r="Y2" s="10">
        <f>IF(O2="","",IF(OR(M2="Electric",M2="Hybrid"),(X2+$AR$1+$AX$1+$AU$1),(X2+$AR$1+$AX$1)))</f>
        <v>80154.439234559992</v>
      </c>
      <c r="Z2" s="11">
        <f>IF(OR(Y2="",T2=""),"",T2-Y2)</f>
        <v>42645.560765440008</v>
      </c>
      <c r="AA2" s="12">
        <f>IF(OR(T2="",Y2="",T2=""),"",(T2-Y2)/Y2)</f>
        <v>0.53204240679226944</v>
      </c>
      <c r="AB2" s="11">
        <f>IF(Y2="","",CEILING(Y2*(1+$AI$1),100))</f>
        <v>96200</v>
      </c>
      <c r="AC2" s="11">
        <f>IF(AB2="","",AB2-Y2)</f>
        <v>16045.560765440008</v>
      </c>
      <c r="AD2" s="11">
        <f>IF(Y2="","",CEILING(Y2*(1+$AL$1),100))</f>
        <v>89800</v>
      </c>
      <c r="AE2" s="11">
        <f>IF(AD2="","",AD2-Y2)</f>
        <v>9645.5607654400083</v>
      </c>
      <c r="AF2" s="27">
        <f>IF(OR(T2="",Y2="",T2=""),"",(AA2-$AL$1))</f>
        <v>0.41204240679226944</v>
      </c>
      <c r="AG2" s="28">
        <f>IF(OR(AD2="",T2=""),"",T2-AD2)</f>
        <v>33000</v>
      </c>
      <c r="AH2" s="24"/>
      <c r="AI2" s="24"/>
      <c r="AJ2" s="24"/>
      <c r="AK2" s="24"/>
      <c r="AL2" s="24"/>
      <c r="AM2" s="24"/>
    </row>
    <row r="3" spans="1:53" x14ac:dyDescent="0.25">
      <c r="A3" s="9" t="s">
        <v>156</v>
      </c>
      <c r="B3" s="9" t="s">
        <v>165</v>
      </c>
      <c r="C3" s="31" t="s">
        <v>40</v>
      </c>
      <c r="D3" s="31" t="s">
        <v>30</v>
      </c>
      <c r="E3" s="32">
        <v>45764</v>
      </c>
      <c r="F3" s="33">
        <v>2</v>
      </c>
      <c r="G3" s="33" t="s">
        <v>155</v>
      </c>
      <c r="H3" s="33" t="s">
        <v>77</v>
      </c>
      <c r="I3" s="33" t="s">
        <v>123</v>
      </c>
      <c r="J3" s="34">
        <v>44769</v>
      </c>
      <c r="K3" s="33" t="s">
        <v>122</v>
      </c>
      <c r="L3" s="33" t="s">
        <v>60</v>
      </c>
      <c r="M3" s="33" t="s">
        <v>48</v>
      </c>
      <c r="N3" s="33">
        <v>25550</v>
      </c>
      <c r="O3" s="33">
        <v>270000</v>
      </c>
      <c r="P3" s="33" t="s">
        <v>121</v>
      </c>
      <c r="Q3" s="30" t="s">
        <v>120</v>
      </c>
      <c r="R3" s="30" t="s">
        <v>124</v>
      </c>
      <c r="S3" s="21">
        <v>86</v>
      </c>
      <c r="T3" s="23">
        <v>26900</v>
      </c>
      <c r="U3" s="10">
        <f>IF(O3="","",IF(C3="Sweden",O3/1.25,IF(C3="Germany",O3/1.19,IF(C3="Spain",O3/1.21,IF(C3="Poland",O3/1.23,IF(C3="France",O3/1.2))))))</f>
        <v>216000</v>
      </c>
      <c r="V3" s="10">
        <f>IF(O3="","",U3*$AO$1)</f>
        <v>18511.2</v>
      </c>
      <c r="W3" s="10">
        <f>IF(O3="","",V3*1.081)</f>
        <v>20010.607199999999</v>
      </c>
      <c r="X3" s="10">
        <f>IF(O3="","",W3*(1+$BA$1))</f>
        <v>20811.031488000001</v>
      </c>
      <c r="Y3" s="10">
        <f>IF(O3="","",IF(OR(M3="Electric",M3="Hybrid"),(X3+$AR$1+$AX$1+$AU$1),(X3+$AR$1+$AX$1)))</f>
        <v>22161.031488000001</v>
      </c>
      <c r="Z3" s="11">
        <f>IF(OR(Y3="",T3=""),"",T3-Y3)</f>
        <v>4738.9685119999995</v>
      </c>
      <c r="AA3" s="12">
        <f>IF(OR(T3="",Y3="",T3=""),"",(T3-Y3)/Y3)</f>
        <v>0.21384241588962627</v>
      </c>
      <c r="AB3" s="11">
        <f>IF(Y3="","",CEILING(Y3*(1+$AI$1),100))</f>
        <v>26600</v>
      </c>
      <c r="AC3" s="11">
        <f>IF(AB3="","",AB3-Y3)</f>
        <v>4438.9685119999995</v>
      </c>
      <c r="AD3" s="11">
        <f>IF(Y3="","",CEILING(Y3*(1+$AL$1),100))</f>
        <v>24900</v>
      </c>
      <c r="AE3" s="11">
        <f>IF(AD3="","",AD3-Y3)</f>
        <v>2738.9685119999995</v>
      </c>
      <c r="AF3" s="27">
        <f>IF(OR(T3="",Y3="",T3=""),"",(AA3-$AL$1))</f>
        <v>9.3842415889626274E-2</v>
      </c>
      <c r="AG3" s="28">
        <f>IF(OR(AD3="",T3=""),"",T3-AD3)</f>
        <v>2000</v>
      </c>
      <c r="AH3" s="24"/>
      <c r="AI3" s="24"/>
      <c r="AJ3" s="24"/>
      <c r="AK3" s="24"/>
      <c r="AL3" s="24"/>
      <c r="AM3" s="24"/>
    </row>
    <row r="4" spans="1:53" x14ac:dyDescent="0.25">
      <c r="A4" s="8"/>
      <c r="B4" s="9" t="s">
        <v>157</v>
      </c>
      <c r="C4" s="13" t="s">
        <v>18</v>
      </c>
      <c r="D4" s="13" t="s">
        <v>30</v>
      </c>
      <c r="E4" s="14">
        <v>45764</v>
      </c>
      <c r="F4" s="18">
        <v>3</v>
      </c>
      <c r="G4" s="18"/>
      <c r="H4" s="18" t="s">
        <v>77</v>
      </c>
      <c r="I4" s="18" t="s">
        <v>78</v>
      </c>
      <c r="J4" s="29">
        <v>45323</v>
      </c>
      <c r="K4" s="18" t="s">
        <v>76</v>
      </c>
      <c r="L4" s="18" t="s">
        <v>60</v>
      </c>
      <c r="M4" s="18" t="s">
        <v>48</v>
      </c>
      <c r="N4" s="18">
        <v>25690</v>
      </c>
      <c r="O4" s="18">
        <v>35450</v>
      </c>
      <c r="P4" s="18" t="s">
        <v>72</v>
      </c>
      <c r="Q4" s="30" t="s">
        <v>75</v>
      </c>
      <c r="R4" s="22" t="s">
        <v>81</v>
      </c>
      <c r="S4" s="21">
        <v>26</v>
      </c>
      <c r="T4" s="23">
        <v>38900</v>
      </c>
      <c r="U4" s="10">
        <v>32177.968594285718</v>
      </c>
      <c r="V4" s="11">
        <v>6722.0314057142823</v>
      </c>
      <c r="W4" s="12">
        <v>0.20890167090622389</v>
      </c>
      <c r="X4" s="11">
        <v>38700</v>
      </c>
      <c r="Y4" s="11">
        <v>6522.0314057142823</v>
      </c>
      <c r="Z4" s="11">
        <v>36100</v>
      </c>
      <c r="AA4" s="11">
        <v>3922.0314057142823</v>
      </c>
      <c r="AB4" s="27">
        <v>8.890167090622389E-2</v>
      </c>
      <c r="AC4" s="28">
        <v>2800</v>
      </c>
      <c r="AD4" s="24"/>
      <c r="AE4" s="24"/>
      <c r="AF4" s="24"/>
      <c r="AG4" s="24"/>
      <c r="AH4" s="24"/>
      <c r="AI4" s="24"/>
    </row>
    <row r="5" spans="1:53" x14ac:dyDescent="0.25">
      <c r="A5" s="8"/>
      <c r="B5" s="9" t="s">
        <v>157</v>
      </c>
      <c r="C5" s="13" t="s">
        <v>18</v>
      </c>
      <c r="D5" s="13" t="s">
        <v>30</v>
      </c>
      <c r="E5" s="14">
        <v>45764</v>
      </c>
      <c r="F5" s="33">
        <v>4</v>
      </c>
      <c r="G5" s="18"/>
      <c r="H5" s="18" t="s">
        <v>77</v>
      </c>
      <c r="I5" s="18" t="s">
        <v>80</v>
      </c>
      <c r="J5" s="29">
        <v>45323</v>
      </c>
      <c r="K5" s="18" t="s">
        <v>76</v>
      </c>
      <c r="L5" s="18" t="s">
        <v>60</v>
      </c>
      <c r="M5" s="18" t="s">
        <v>48</v>
      </c>
      <c r="N5" s="18">
        <v>16134</v>
      </c>
      <c r="O5" s="18">
        <v>35788</v>
      </c>
      <c r="P5" s="18" t="s">
        <v>70</v>
      </c>
      <c r="Q5" s="30" t="s">
        <v>79</v>
      </c>
      <c r="R5" s="22" t="s">
        <v>81</v>
      </c>
      <c r="S5" s="21">
        <v>26</v>
      </c>
      <c r="T5" s="23">
        <v>38900</v>
      </c>
      <c r="U5" s="10">
        <v>32477.620311771432</v>
      </c>
      <c r="V5" s="11">
        <v>6422.3796882285678</v>
      </c>
      <c r="W5" s="12">
        <v>0.19774785303160874</v>
      </c>
      <c r="X5" s="11">
        <v>39000</v>
      </c>
      <c r="Y5" s="11">
        <v>6522.3796882285678</v>
      </c>
      <c r="Z5" s="11">
        <v>36400</v>
      </c>
      <c r="AA5" s="11">
        <v>3922.3796882285678</v>
      </c>
      <c r="AB5" s="27">
        <v>7.7747853031608749E-2</v>
      </c>
      <c r="AC5" s="28">
        <v>2500</v>
      </c>
      <c r="AD5" s="24"/>
      <c r="AE5" s="24"/>
      <c r="AF5" s="24"/>
      <c r="AG5" s="24"/>
      <c r="AH5" s="24"/>
      <c r="AI5" s="24"/>
    </row>
    <row r="6" spans="1:53" x14ac:dyDescent="0.25">
      <c r="A6" s="8" t="s">
        <v>83</v>
      </c>
      <c r="B6" s="9" t="s">
        <v>158</v>
      </c>
      <c r="C6" s="13" t="s">
        <v>18</v>
      </c>
      <c r="D6" s="13" t="s">
        <v>30</v>
      </c>
      <c r="E6" s="14">
        <v>45764</v>
      </c>
      <c r="F6" s="18">
        <v>5</v>
      </c>
      <c r="G6" s="18"/>
      <c r="H6" s="35" t="s">
        <v>77</v>
      </c>
      <c r="I6" s="35" t="s">
        <v>84</v>
      </c>
      <c r="J6" s="36">
        <v>45323</v>
      </c>
      <c r="K6" s="35" t="s">
        <v>85</v>
      </c>
      <c r="L6" s="35" t="s">
        <v>60</v>
      </c>
      <c r="M6" s="35" t="s">
        <v>48</v>
      </c>
      <c r="N6" s="35">
        <v>9270</v>
      </c>
      <c r="O6" s="35">
        <v>44390</v>
      </c>
      <c r="P6" s="35" t="s">
        <v>58</v>
      </c>
      <c r="Q6" s="30" t="s">
        <v>86</v>
      </c>
      <c r="R6" s="22" t="s">
        <v>82</v>
      </c>
      <c r="S6" s="21">
        <v>151</v>
      </c>
      <c r="T6" s="23">
        <v>52900</v>
      </c>
      <c r="U6" s="10">
        <v>40103.667867428565</v>
      </c>
      <c r="V6" s="11">
        <v>12796.332132571435</v>
      </c>
      <c r="W6" s="12">
        <v>0.31908134125966997</v>
      </c>
      <c r="X6" s="11">
        <v>48200</v>
      </c>
      <c r="Y6" s="11">
        <v>8096.3321325714351</v>
      </c>
      <c r="Z6" s="11">
        <v>45000</v>
      </c>
      <c r="AA6" s="11">
        <v>4896.3321325714351</v>
      </c>
      <c r="AB6" s="27">
        <v>0.19908134125966997</v>
      </c>
      <c r="AC6" s="28">
        <v>7900</v>
      </c>
      <c r="AD6" s="24"/>
      <c r="AE6" s="24"/>
      <c r="AF6" s="24"/>
      <c r="AG6" s="24"/>
      <c r="AH6" s="24"/>
      <c r="AI6" s="24"/>
    </row>
    <row r="7" spans="1:53" x14ac:dyDescent="0.25">
      <c r="A7" s="8"/>
      <c r="B7" s="9" t="s">
        <v>159</v>
      </c>
      <c r="C7" s="13" t="s">
        <v>18</v>
      </c>
      <c r="D7" s="13" t="s">
        <v>30</v>
      </c>
      <c r="E7" s="14">
        <v>45764</v>
      </c>
      <c r="F7" s="33">
        <v>6</v>
      </c>
      <c r="G7" s="18"/>
      <c r="H7" s="35" t="s">
        <v>77</v>
      </c>
      <c r="I7" s="35" t="s">
        <v>112</v>
      </c>
      <c r="J7" s="36">
        <v>44682</v>
      </c>
      <c r="K7" s="35" t="s">
        <v>111</v>
      </c>
      <c r="L7" s="35" t="s">
        <v>60</v>
      </c>
      <c r="M7" s="35" t="s">
        <v>95</v>
      </c>
      <c r="N7" s="35">
        <v>35188</v>
      </c>
      <c r="O7" s="35">
        <v>53988</v>
      </c>
      <c r="P7" s="35" t="s">
        <v>70</v>
      </c>
      <c r="Q7" s="30" t="s">
        <v>110</v>
      </c>
      <c r="R7" s="30" t="s">
        <v>109</v>
      </c>
      <c r="S7" s="21">
        <v>22</v>
      </c>
      <c r="T7" s="23">
        <v>63900</v>
      </c>
      <c r="U7" s="10">
        <v>48612.712791771432</v>
      </c>
      <c r="V7" s="11">
        <v>15287.287208228568</v>
      </c>
      <c r="W7" s="12">
        <v>0.31447097539506608</v>
      </c>
      <c r="X7" s="11">
        <v>58400</v>
      </c>
      <c r="Y7" s="11">
        <v>9787.2872082285685</v>
      </c>
      <c r="Z7" s="11">
        <v>54500</v>
      </c>
      <c r="AA7" s="11">
        <v>5887.2872082285685</v>
      </c>
      <c r="AB7" s="27">
        <v>0.19447097539506608</v>
      </c>
      <c r="AC7" s="28">
        <v>9400</v>
      </c>
      <c r="AD7" s="24"/>
      <c r="AE7" s="24"/>
      <c r="AF7" s="24"/>
      <c r="AG7" s="24"/>
      <c r="AH7" s="24"/>
      <c r="AI7" s="24"/>
    </row>
    <row r="8" spans="1:53" x14ac:dyDescent="0.25">
      <c r="A8" s="8"/>
      <c r="B8" s="9" t="s">
        <v>160</v>
      </c>
      <c r="C8" s="13" t="s">
        <v>18</v>
      </c>
      <c r="D8" s="13" t="s">
        <v>30</v>
      </c>
      <c r="E8" s="14">
        <v>45764</v>
      </c>
      <c r="F8" s="18">
        <v>7</v>
      </c>
      <c r="G8" s="18"/>
      <c r="H8" s="18" t="s">
        <v>77</v>
      </c>
      <c r="I8" s="18" t="s">
        <v>114</v>
      </c>
      <c r="J8" s="29">
        <v>45383</v>
      </c>
      <c r="K8" s="18" t="s">
        <v>91</v>
      </c>
      <c r="L8" s="18" t="s">
        <v>60</v>
      </c>
      <c r="M8" s="18" t="s">
        <v>48</v>
      </c>
      <c r="N8" s="18">
        <v>10864</v>
      </c>
      <c r="O8" s="18">
        <v>58420</v>
      </c>
      <c r="P8" s="18" t="s">
        <v>70</v>
      </c>
      <c r="Q8" s="30" t="s">
        <v>113</v>
      </c>
      <c r="R8" s="30" t="s">
        <v>115</v>
      </c>
      <c r="S8" s="21">
        <v>44</v>
      </c>
      <c r="T8" s="23">
        <v>63900</v>
      </c>
      <c r="U8" s="10">
        <v>52541.873773714287</v>
      </c>
      <c r="V8" s="11">
        <v>11358.126226285713</v>
      </c>
      <c r="W8" s="12">
        <v>0.21617284292529304</v>
      </c>
      <c r="X8" s="11">
        <v>63100</v>
      </c>
      <c r="Y8" s="11">
        <v>10558.126226285713</v>
      </c>
      <c r="Z8" s="11">
        <v>58900</v>
      </c>
      <c r="AA8" s="11">
        <v>6358.1262262857126</v>
      </c>
      <c r="AB8" s="27">
        <v>9.6172842925293045E-2</v>
      </c>
      <c r="AC8" s="28">
        <v>5000</v>
      </c>
      <c r="AD8" s="24"/>
      <c r="AE8" s="24"/>
      <c r="AF8" s="24"/>
      <c r="AG8" s="24"/>
      <c r="AH8" s="24"/>
      <c r="AI8" s="24"/>
    </row>
    <row r="9" spans="1:53" x14ac:dyDescent="0.25">
      <c r="A9" s="8"/>
      <c r="B9" s="9" t="s">
        <v>161</v>
      </c>
      <c r="C9" s="13" t="s">
        <v>18</v>
      </c>
      <c r="D9" s="13" t="s">
        <v>30</v>
      </c>
      <c r="E9" s="14">
        <v>45764</v>
      </c>
      <c r="F9" s="33">
        <v>8</v>
      </c>
      <c r="G9" s="18"/>
      <c r="H9" s="35" t="s">
        <v>77</v>
      </c>
      <c r="I9" s="35" t="s">
        <v>118</v>
      </c>
      <c r="J9" s="36">
        <v>45413</v>
      </c>
      <c r="K9" s="35" t="s">
        <v>117</v>
      </c>
      <c r="L9" s="35" t="s">
        <v>60</v>
      </c>
      <c r="M9" s="35" t="s">
        <v>95</v>
      </c>
      <c r="N9" s="35">
        <v>11073</v>
      </c>
      <c r="O9" s="35">
        <v>35390</v>
      </c>
      <c r="P9" s="35" t="s">
        <v>70</v>
      </c>
      <c r="Q9" s="30" t="s">
        <v>116</v>
      </c>
      <c r="R9" s="30" t="s">
        <v>119</v>
      </c>
      <c r="S9" s="21">
        <v>4</v>
      </c>
      <c r="T9" s="23">
        <v>49900</v>
      </c>
      <c r="U9" s="10">
        <v>32124.775981714291</v>
      </c>
      <c r="V9" s="11">
        <v>17775.224018285709</v>
      </c>
      <c r="W9" s="12">
        <v>0.5533182247995605</v>
      </c>
      <c r="X9" s="11">
        <v>38600</v>
      </c>
      <c r="Y9" s="11">
        <v>6475.2240182857095</v>
      </c>
      <c r="Z9" s="11">
        <v>36000</v>
      </c>
      <c r="AA9" s="11">
        <v>3875.2240182857095</v>
      </c>
      <c r="AB9" s="27">
        <v>0.4333182247995605</v>
      </c>
      <c r="AC9" s="28">
        <v>13900</v>
      </c>
      <c r="AD9" s="24"/>
      <c r="AE9" s="24"/>
      <c r="AF9" s="24"/>
      <c r="AG9" s="24"/>
      <c r="AH9" s="24"/>
      <c r="AI9" s="24"/>
    </row>
    <row r="10" spans="1:53" x14ac:dyDescent="0.25">
      <c r="A10" s="8" t="s">
        <v>163</v>
      </c>
      <c r="B10" s="9" t="s">
        <v>162</v>
      </c>
      <c r="C10" s="13" t="s">
        <v>18</v>
      </c>
      <c r="D10" s="13" t="s">
        <v>30</v>
      </c>
      <c r="E10" s="14">
        <v>45764</v>
      </c>
      <c r="F10" s="18">
        <v>9</v>
      </c>
      <c r="G10" s="18"/>
      <c r="H10" s="35" t="s">
        <v>92</v>
      </c>
      <c r="I10" s="35" t="s">
        <v>128</v>
      </c>
      <c r="J10" s="36">
        <v>45474</v>
      </c>
      <c r="K10" s="35" t="s">
        <v>117</v>
      </c>
      <c r="L10" s="35" t="s">
        <v>60</v>
      </c>
      <c r="M10" s="35" t="s">
        <v>48</v>
      </c>
      <c r="N10" s="35">
        <v>28322</v>
      </c>
      <c r="O10" s="35">
        <v>33480</v>
      </c>
      <c r="P10" s="35" t="s">
        <v>70</v>
      </c>
      <c r="Q10" s="30" t="s">
        <v>129</v>
      </c>
      <c r="R10" s="30" t="s">
        <v>130</v>
      </c>
      <c r="S10" s="21">
        <v>82</v>
      </c>
      <c r="T10" s="23">
        <v>37400</v>
      </c>
      <c r="U10" s="10">
        <v>30431.477814857146</v>
      </c>
      <c r="V10" s="11">
        <v>6968.5221851428541</v>
      </c>
      <c r="W10" s="12">
        <v>0.22899059413212944</v>
      </c>
      <c r="X10" s="11">
        <v>36600</v>
      </c>
      <c r="Y10" s="11">
        <v>6168.5221851428541</v>
      </c>
      <c r="Z10" s="11">
        <v>34100</v>
      </c>
      <c r="AA10" s="11">
        <v>3668.5221851428541</v>
      </c>
      <c r="AB10" s="27">
        <v>0.10899059413212944</v>
      </c>
      <c r="AC10" s="28">
        <v>3300</v>
      </c>
      <c r="AD10" s="24"/>
      <c r="AE10" s="24"/>
      <c r="AF10" s="24"/>
      <c r="AG10" s="24"/>
      <c r="AH10" s="24"/>
      <c r="AI10" s="24"/>
    </row>
    <row r="11" spans="1:53" x14ac:dyDescent="0.25">
      <c r="A11" s="8"/>
      <c r="B11" s="9" t="s">
        <v>157</v>
      </c>
      <c r="C11" s="13" t="s">
        <v>18</v>
      </c>
      <c r="D11" s="13" t="s">
        <v>30</v>
      </c>
      <c r="E11" s="14">
        <v>45764</v>
      </c>
      <c r="F11" s="33">
        <v>10</v>
      </c>
      <c r="G11" s="18"/>
      <c r="H11" s="18" t="s">
        <v>133</v>
      </c>
      <c r="I11" s="18" t="s">
        <v>134</v>
      </c>
      <c r="J11" s="29">
        <v>45444</v>
      </c>
      <c r="K11" s="18" t="s">
        <v>132</v>
      </c>
      <c r="L11" s="18" t="s">
        <v>60</v>
      </c>
      <c r="M11" s="18" t="s">
        <v>48</v>
      </c>
      <c r="N11" s="18">
        <v>32200</v>
      </c>
      <c r="O11" s="18">
        <v>32980</v>
      </c>
      <c r="P11" s="18" t="s">
        <v>70</v>
      </c>
      <c r="Q11" s="30" t="s">
        <v>131</v>
      </c>
      <c r="R11" s="30" t="s">
        <v>135</v>
      </c>
      <c r="S11" s="21">
        <v>73</v>
      </c>
      <c r="T11" s="23">
        <v>41990</v>
      </c>
      <c r="U11" s="10">
        <v>29988.20604342857</v>
      </c>
      <c r="V11" s="11">
        <v>12001.79395657143</v>
      </c>
      <c r="W11" s="12">
        <v>0.40021713667001524</v>
      </c>
      <c r="X11" s="11">
        <v>36000</v>
      </c>
      <c r="Y11" s="11">
        <v>6011.7939565714296</v>
      </c>
      <c r="Z11" s="11">
        <v>33600</v>
      </c>
      <c r="AA11" s="11">
        <v>3611.7939565714296</v>
      </c>
      <c r="AB11" s="27">
        <v>0.28021713667001524</v>
      </c>
      <c r="AC11" s="28">
        <v>8390</v>
      </c>
      <c r="AD11" s="24"/>
      <c r="AE11" s="24"/>
      <c r="AF11" s="24"/>
      <c r="AG11" s="24"/>
      <c r="AH11" s="24"/>
      <c r="AI11" s="24"/>
    </row>
    <row r="12" spans="1:53" x14ac:dyDescent="0.25">
      <c r="A12" s="8"/>
      <c r="B12" s="9" t="s">
        <v>159</v>
      </c>
      <c r="C12" s="13" t="s">
        <v>18</v>
      </c>
      <c r="D12" s="13" t="s">
        <v>30</v>
      </c>
      <c r="E12" s="14">
        <v>45764</v>
      </c>
      <c r="F12" s="18">
        <v>11</v>
      </c>
      <c r="G12" s="18"/>
      <c r="H12" s="35" t="s">
        <v>62</v>
      </c>
      <c r="I12" s="35" t="s">
        <v>152</v>
      </c>
      <c r="J12" s="36">
        <v>45108</v>
      </c>
      <c r="K12" s="35" t="s">
        <v>147</v>
      </c>
      <c r="L12" s="35" t="s">
        <v>60</v>
      </c>
      <c r="M12" s="35" t="s">
        <v>48</v>
      </c>
      <c r="N12" s="35">
        <v>23900</v>
      </c>
      <c r="O12" s="35">
        <v>53790</v>
      </c>
      <c r="P12" s="35" t="s">
        <v>58</v>
      </c>
      <c r="Q12" s="30" t="s">
        <v>151</v>
      </c>
      <c r="R12" s="30" t="s">
        <v>150</v>
      </c>
      <c r="S12" s="21">
        <v>2</v>
      </c>
      <c r="T12" s="23">
        <v>67500</v>
      </c>
      <c r="U12" s="10">
        <v>48437.177170285715</v>
      </c>
      <c r="V12" s="11">
        <v>19062.822829714285</v>
      </c>
      <c r="W12" s="12">
        <v>0.39355767497963468</v>
      </c>
      <c r="X12" s="11">
        <v>58200</v>
      </c>
      <c r="Y12" s="11">
        <v>9762.822829714285</v>
      </c>
      <c r="Z12" s="11">
        <v>54300</v>
      </c>
      <c r="AA12" s="11">
        <v>5862.822829714285</v>
      </c>
      <c r="AB12" s="27">
        <v>0.27355767497963468</v>
      </c>
      <c r="AC12" s="28">
        <v>13200</v>
      </c>
      <c r="AD12" s="24"/>
      <c r="AE12" s="24"/>
      <c r="AF12" s="24"/>
      <c r="AG12" s="24"/>
      <c r="AH12" s="24"/>
      <c r="AI12" s="24"/>
    </row>
  </sheetData>
  <conditionalFormatting sqref="Z2:AE3 AH2:AM3">
    <cfRule type="cellIs" dxfId="5" priority="3" operator="lessThan">
      <formula>0</formula>
    </cfRule>
    <cfRule type="cellIs" dxfId="4" priority="4" operator="greaterThan">
      <formula>0</formula>
    </cfRule>
  </conditionalFormatting>
  <conditionalFormatting sqref="V4:AA12 AD4:AI12">
    <cfRule type="cellIs" dxfId="1" priority="1" operator="lessThan">
      <formula>0</formula>
    </cfRule>
    <cfRule type="cellIs" dxfId="0" priority="2" operator="greaterThan">
      <formula>0</formula>
    </cfRule>
  </conditionalFormatting>
  <hyperlinks>
    <hyperlink ref="R3" r:id="rId1" display="https://www.autoscout24.ch/de/s/mg-a-class/mk-mercedes-benz?firstRegistrationYearFrom=2022&amp;mileageTo=40000&amp;fuelTypeGroups%5B0=&amp;transmissionTypeGroups%5B0%5D=automatic&amp;hadNoAccidentOnly=true&amp;fuelTypes%5B0%5D=petrol&amp;fuelTypes%5B1%5D=mhev-petrol&amp;horsePowerTo=138&amp;sort%5B0%5D%5Btype%5D=PRICE&amp;sort%5B0%5D%5Border%5D=ASC" xr:uid="{75FB5735-D240-41FE-BB42-F95E983B8D7C}"/>
    <hyperlink ref="Q3" r:id="rId2" xr:uid="{2E95943D-EDC6-488B-837A-03EE18CACCA1}"/>
    <hyperlink ref="Q2" r:id="rId3" xr:uid="{D26E3F16-4BCA-437D-BF4C-2261D9507376}"/>
    <hyperlink ref="R2" r:id="rId4" display="https://www.autoscout24.ch/de/s/mo-ix/mk-bmw/ft-electric?firstRegistrationYearFrom=2025&amp;mileageTo=40000&amp;fuelTypeGroups%5B0=&amp;transmissionTypeGroups%5B0%5D=automatic&amp;gear=A&amp;custtype=D&amp;ocs_listing=include&amp;search_id=1scm5nxpib5&amp;hadNoAccidentOnly=true&amp;horsePowerFrom=540&amp;sort%5B0%5D%5Btype%5D=PRICE&amp;sort%5B0%5D%5Border%5D=ASC" xr:uid="{C1BBCC3C-D446-4648-A4C0-4FE02742EB10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D0121-D4AF-4992-99AB-4A04CA251054}">
  <sheetPr filterMode="1"/>
  <dimension ref="A1:BA23"/>
  <sheetViews>
    <sheetView zoomScale="130" zoomScaleNormal="130" workbookViewId="0">
      <pane ySplit="1" topLeftCell="A4" activePane="bottomLeft" state="frozen"/>
      <selection pane="bottomLeft" activeCell="AB29" sqref="AB29"/>
    </sheetView>
  </sheetViews>
  <sheetFormatPr defaultColWidth="11.42578125" defaultRowHeight="15" outlineLevelCol="1" x14ac:dyDescent="0.25"/>
  <cols>
    <col min="1" max="1" width="15.28515625" style="5" customWidth="1"/>
    <col min="2" max="2" width="21.28515625" style="5" customWidth="1"/>
    <col min="3" max="3" width="17" style="5" customWidth="1"/>
    <col min="4" max="4" width="20.140625" style="5" customWidth="1"/>
    <col min="5" max="5" width="13.5703125" style="5" customWidth="1"/>
    <col min="6" max="6" width="10.28515625" style="5" bestFit="1" customWidth="1"/>
    <col min="7" max="7" width="10.28515625" style="5" customWidth="1" outlineLevel="1"/>
    <col min="8" max="8" width="16.42578125" style="5" bestFit="1" customWidth="1"/>
    <col min="9" max="9" width="58.5703125" style="5" bestFit="1" customWidth="1"/>
    <col min="10" max="10" width="20.85546875" style="5" customWidth="1"/>
    <col min="11" max="11" width="13.140625" style="5" customWidth="1"/>
    <col min="12" max="12" width="16.7109375" style="5" customWidth="1"/>
    <col min="13" max="13" width="21.85546875" style="5" bestFit="1" customWidth="1"/>
    <col min="14" max="14" width="13.28515625" style="5" customWidth="1"/>
    <col min="15" max="15" width="22.28515625" style="5" customWidth="1"/>
    <col min="16" max="16" width="18.28515625" style="5" customWidth="1"/>
    <col min="17" max="17" width="12.140625" style="15" customWidth="1"/>
    <col min="18" max="18" width="21.28515625" style="15" customWidth="1"/>
    <col min="19" max="19" width="29.5703125" style="5" customWidth="1" outlineLevel="1"/>
    <col min="20" max="20" width="37" style="5" customWidth="1" outlineLevel="1"/>
    <col min="21" max="21" width="19.7109375" style="5" hidden="1" customWidth="1" outlineLevel="1"/>
    <col min="22" max="24" width="32.140625" style="5" hidden="1" customWidth="1" outlineLevel="1"/>
    <col min="25" max="25" width="32.140625" style="5" customWidth="1"/>
    <col min="26" max="26" width="29.42578125" style="5" customWidth="1"/>
    <col min="27" max="27" width="28.42578125" style="5" customWidth="1"/>
    <col min="28" max="28" width="11.28515625" style="5" bestFit="1" customWidth="1"/>
    <col min="29" max="29" width="14.5703125" style="5" customWidth="1"/>
    <col min="30" max="32" width="13.28515625" style="5" customWidth="1"/>
    <col min="33" max="39" width="11.42578125" style="5"/>
    <col min="40" max="40" width="19" style="5" bestFit="1" customWidth="1"/>
    <col min="41" max="41" width="16.140625" style="5" customWidth="1"/>
    <col min="42" max="42" width="18.85546875" style="5" bestFit="1" customWidth="1"/>
    <col min="43" max="43" width="17.85546875" style="5" bestFit="1" customWidth="1"/>
    <col min="44" max="44" width="11.42578125" style="5"/>
    <col min="45" max="45" width="18.5703125" style="5" bestFit="1" customWidth="1"/>
    <col min="46" max="46" width="17.28515625" style="5" bestFit="1" customWidth="1"/>
    <col min="47" max="47" width="11.42578125" style="5"/>
    <col min="48" max="48" width="18.5703125" style="5" bestFit="1" customWidth="1"/>
    <col min="49" max="49" width="11.7109375" style="5" bestFit="1" customWidth="1"/>
    <col min="50" max="51" width="11.42578125" style="5"/>
    <col min="52" max="52" width="10.85546875" style="5" bestFit="1" customWidth="1"/>
    <col min="53" max="16384" width="11.42578125" style="5"/>
  </cols>
  <sheetData>
    <row r="1" spans="1:53" x14ac:dyDescent="0.25">
      <c r="A1" s="1" t="s">
        <v>0</v>
      </c>
      <c r="B1" s="1" t="s">
        <v>15</v>
      </c>
      <c r="C1" s="2" t="s">
        <v>1</v>
      </c>
      <c r="D1" s="2" t="s">
        <v>2</v>
      </c>
      <c r="E1" s="2" t="s">
        <v>3</v>
      </c>
      <c r="F1" s="20" t="s">
        <v>4</v>
      </c>
      <c r="G1" s="2" t="s">
        <v>19</v>
      </c>
      <c r="H1" s="2" t="s">
        <v>5</v>
      </c>
      <c r="I1" s="2" t="s">
        <v>6</v>
      </c>
      <c r="J1" s="2" t="s">
        <v>41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12</v>
      </c>
      <c r="P1" s="2" t="s">
        <v>13</v>
      </c>
      <c r="Q1" s="3" t="s">
        <v>42</v>
      </c>
      <c r="R1" s="3" t="s">
        <v>31</v>
      </c>
      <c r="S1" s="16" t="s">
        <v>17</v>
      </c>
      <c r="T1" s="16" t="s">
        <v>27</v>
      </c>
      <c r="U1" s="4" t="s">
        <v>43</v>
      </c>
      <c r="V1" s="4" t="s">
        <v>44</v>
      </c>
      <c r="W1" s="4" t="s">
        <v>21</v>
      </c>
      <c r="X1" s="4" t="s">
        <v>23</v>
      </c>
      <c r="Y1" s="4" t="s">
        <v>46</v>
      </c>
      <c r="Z1" s="17" t="s">
        <v>28</v>
      </c>
      <c r="AA1" s="17" t="s">
        <v>29</v>
      </c>
      <c r="AB1" s="17" t="s">
        <v>51</v>
      </c>
      <c r="AC1" s="17" t="s">
        <v>52</v>
      </c>
      <c r="AD1" s="17" t="s">
        <v>53</v>
      </c>
      <c r="AE1" s="17" t="s">
        <v>54</v>
      </c>
      <c r="AF1" s="17" t="s">
        <v>55</v>
      </c>
      <c r="AG1" s="6" t="s">
        <v>56</v>
      </c>
      <c r="AH1" s="6" t="s">
        <v>49</v>
      </c>
      <c r="AI1" s="26">
        <v>0.2</v>
      </c>
      <c r="AK1" s="6" t="s">
        <v>50</v>
      </c>
      <c r="AL1" s="26">
        <v>0.12</v>
      </c>
      <c r="AN1" s="6" t="s">
        <v>45</v>
      </c>
      <c r="AO1" s="25">
        <v>0.93840000000000001</v>
      </c>
      <c r="AQ1" s="6" t="s">
        <v>24</v>
      </c>
      <c r="AR1" s="7">
        <v>600</v>
      </c>
      <c r="AT1" s="6" t="s">
        <v>25</v>
      </c>
      <c r="AU1" s="7">
        <v>350</v>
      </c>
      <c r="AW1" s="6" t="s">
        <v>26</v>
      </c>
      <c r="AX1" s="7">
        <v>150</v>
      </c>
      <c r="AZ1" s="6" t="s">
        <v>22</v>
      </c>
      <c r="BA1" s="19">
        <v>0.04</v>
      </c>
    </row>
    <row r="2" spans="1:53" hidden="1" x14ac:dyDescent="0.25">
      <c r="A2" s="8"/>
      <c r="B2" s="9" t="s">
        <v>47</v>
      </c>
      <c r="C2" s="13" t="s">
        <v>18</v>
      </c>
      <c r="D2" s="13" t="s">
        <v>30</v>
      </c>
      <c r="E2" s="14">
        <v>45764</v>
      </c>
      <c r="F2" s="18">
        <v>1</v>
      </c>
      <c r="G2" s="18"/>
      <c r="H2" s="18" t="s">
        <v>62</v>
      </c>
      <c r="I2" s="18" t="s">
        <v>63</v>
      </c>
      <c r="J2" s="29">
        <v>45748</v>
      </c>
      <c r="K2" s="18" t="s">
        <v>61</v>
      </c>
      <c r="L2" s="18" t="s">
        <v>60</v>
      </c>
      <c r="M2" s="18" t="s">
        <v>59</v>
      </c>
      <c r="N2" s="18">
        <v>3000</v>
      </c>
      <c r="O2" s="18">
        <v>69890</v>
      </c>
      <c r="P2" s="18" t="s">
        <v>58</v>
      </c>
      <c r="Q2" s="30" t="s">
        <v>57</v>
      </c>
      <c r="R2" s="30" t="s">
        <v>64</v>
      </c>
      <c r="S2" s="21">
        <v>11</v>
      </c>
      <c r="T2" s="23">
        <v>91440</v>
      </c>
      <c r="U2" s="10">
        <f t="shared" ref="U2:U17" si="0">IF(O2="","",IF(C2="Sweden",O2/1.25,IF(C2="Germany",O2/1.19,IF(C2="Spain",O2/1.21,IF(C2="Poland",O2/1.23,IF(C2="France",O2/1.2))))))</f>
        <v>58731.092436974795</v>
      </c>
      <c r="V2" s="10">
        <f t="shared" ref="V2:V17" si="1">IF(O2="","",U2*$AO$1)</f>
        <v>55113.257142857146</v>
      </c>
      <c r="W2" s="10">
        <f t="shared" ref="W2:W17" si="2">IF(N2="","",V2*1.081)</f>
        <v>59577.43097142857</v>
      </c>
      <c r="X2" s="10">
        <f t="shared" ref="X2:X17" si="3">IF(N2="","",W2*(1+$BA$1))</f>
        <v>61960.528210285716</v>
      </c>
      <c r="Y2" s="10">
        <f t="shared" ref="Y2:Y17" si="4">IF(O2="","",IF(OR(M2="Elektro",M2="Hybrid"),(X2+$AR$1+$AX$1+$AU$1),(X2+$AR$1+$AX$1)))</f>
        <v>63060.528210285716</v>
      </c>
      <c r="Z2" s="11">
        <f t="shared" ref="Z2:Z17" si="5">IF(OR(Y2="",T2=""),"",T2-Y2)</f>
        <v>28379.471789714284</v>
      </c>
      <c r="AA2" s="12">
        <f t="shared" ref="AA2:AA17" si="6">IF(OR(T2="",Y2="",T2=""),"",(T2-Y2)/Y2)</f>
        <v>0.45003542778896904</v>
      </c>
      <c r="AB2" s="11">
        <f t="shared" ref="AB2:AB17" si="7">IF(Y2="","",CEILING(Y2*(1+$AI$1),100))</f>
        <v>75700</v>
      </c>
      <c r="AC2" s="11">
        <f t="shared" ref="AC2:AC17" si="8">IF(AB2="","",AB2-Y2)</f>
        <v>12639.471789714284</v>
      </c>
      <c r="AD2" s="11">
        <f t="shared" ref="AD2:AD17" si="9">IF(Y2="","",CEILING(Y2*(1+$AL$1),100))</f>
        <v>70700</v>
      </c>
      <c r="AE2" s="11">
        <f t="shared" ref="AE2:AE17" si="10">IF(AD2="","",AD2-Y2)</f>
        <v>7639.4717897142837</v>
      </c>
      <c r="AF2" s="27">
        <f t="shared" ref="AF2:AF17" si="11">IF(OR(T2="",Y2="",T2=""),"",(AA2-$AL$1))</f>
        <v>0.33003542778896905</v>
      </c>
      <c r="AG2" s="28">
        <f t="shared" ref="AG2:AG17" si="12">IF(OR(AD2="",T2=""),"",T2-AD2)</f>
        <v>20740</v>
      </c>
      <c r="AH2" s="24"/>
      <c r="AI2" s="24"/>
      <c r="AJ2" s="24"/>
      <c r="AK2" s="24"/>
      <c r="AL2" s="24"/>
      <c r="AM2" s="24"/>
    </row>
    <row r="3" spans="1:53" hidden="1" x14ac:dyDescent="0.25">
      <c r="A3" s="8"/>
      <c r="B3" s="9" t="s">
        <v>47</v>
      </c>
      <c r="C3" s="13" t="s">
        <v>18</v>
      </c>
      <c r="D3" s="13" t="s">
        <v>30</v>
      </c>
      <c r="E3" s="14">
        <v>45764</v>
      </c>
      <c r="F3" s="35">
        <v>2</v>
      </c>
      <c r="G3" s="35"/>
      <c r="H3" s="35" t="s">
        <v>62</v>
      </c>
      <c r="I3" s="35" t="s">
        <v>74</v>
      </c>
      <c r="J3" s="36">
        <v>45717</v>
      </c>
      <c r="K3" s="35" t="s">
        <v>73</v>
      </c>
      <c r="L3" s="35" t="s">
        <v>60</v>
      </c>
      <c r="M3" s="35" t="s">
        <v>59</v>
      </c>
      <c r="N3" s="35">
        <v>3500</v>
      </c>
      <c r="O3" s="35">
        <v>97900</v>
      </c>
      <c r="P3" s="35" t="s">
        <v>72</v>
      </c>
      <c r="Q3" s="30" t="s">
        <v>71</v>
      </c>
      <c r="R3" s="30" t="s">
        <v>69</v>
      </c>
      <c r="S3" s="21">
        <v>8</v>
      </c>
      <c r="T3" s="23">
        <v>105900</v>
      </c>
      <c r="U3" s="10">
        <f t="shared" si="0"/>
        <v>82268.907563025219</v>
      </c>
      <c r="V3" s="10">
        <f t="shared" si="1"/>
        <v>77201.14285714287</v>
      </c>
      <c r="W3" s="10">
        <f t="shared" si="2"/>
        <v>83454.435428571436</v>
      </c>
      <c r="X3" s="10">
        <f t="shared" si="3"/>
        <v>86792.612845714291</v>
      </c>
      <c r="Y3" s="10">
        <f t="shared" si="4"/>
        <v>87892.612845714291</v>
      </c>
      <c r="Z3" s="11">
        <f t="shared" si="5"/>
        <v>18007.387154285709</v>
      </c>
      <c r="AA3" s="12">
        <f t="shared" si="6"/>
        <v>0.20487941558747008</v>
      </c>
      <c r="AB3" s="11">
        <f t="shared" si="7"/>
        <v>105500</v>
      </c>
      <c r="AC3" s="11">
        <f t="shared" si="8"/>
        <v>17607.387154285709</v>
      </c>
      <c r="AD3" s="11">
        <f t="shared" si="9"/>
        <v>98500</v>
      </c>
      <c r="AE3" s="11">
        <f t="shared" si="10"/>
        <v>10607.387154285709</v>
      </c>
      <c r="AF3" s="27">
        <f t="shared" si="11"/>
        <v>8.4879415587470086E-2</v>
      </c>
      <c r="AG3" s="28">
        <f t="shared" si="12"/>
        <v>7400</v>
      </c>
      <c r="AH3" s="24"/>
      <c r="AI3" s="24"/>
      <c r="AJ3" s="24"/>
      <c r="AK3" s="24"/>
      <c r="AL3" s="24"/>
      <c r="AM3" s="24"/>
    </row>
    <row r="4" spans="1:53" x14ac:dyDescent="0.25">
      <c r="A4" s="8"/>
      <c r="B4" s="9" t="s">
        <v>157</v>
      </c>
      <c r="C4" s="13" t="s">
        <v>18</v>
      </c>
      <c r="D4" s="13" t="s">
        <v>30</v>
      </c>
      <c r="E4" s="14">
        <v>45764</v>
      </c>
      <c r="F4" s="18">
        <v>3</v>
      </c>
      <c r="G4" s="18"/>
      <c r="H4" s="18" t="s">
        <v>77</v>
      </c>
      <c r="I4" s="18" t="s">
        <v>78</v>
      </c>
      <c r="J4" s="29">
        <v>45323</v>
      </c>
      <c r="K4" s="18" t="s">
        <v>76</v>
      </c>
      <c r="L4" s="18" t="s">
        <v>60</v>
      </c>
      <c r="M4" s="18" t="s">
        <v>48</v>
      </c>
      <c r="N4" s="18">
        <v>25690</v>
      </c>
      <c r="O4" s="18">
        <v>35450</v>
      </c>
      <c r="P4" s="18" t="s">
        <v>72</v>
      </c>
      <c r="Q4" s="30" t="s">
        <v>75</v>
      </c>
      <c r="R4" s="22" t="s">
        <v>81</v>
      </c>
      <c r="S4" s="21">
        <v>26</v>
      </c>
      <c r="T4" s="23">
        <v>38900</v>
      </c>
      <c r="U4" s="10">
        <f t="shared" si="0"/>
        <v>29789.915966386558</v>
      </c>
      <c r="V4" s="10">
        <f t="shared" si="1"/>
        <v>27954.857142857145</v>
      </c>
      <c r="W4" s="10">
        <f t="shared" si="2"/>
        <v>30219.200571428573</v>
      </c>
      <c r="X4" s="10">
        <f t="shared" si="3"/>
        <v>31427.968594285718</v>
      </c>
      <c r="Y4" s="10">
        <f t="shared" si="4"/>
        <v>32177.968594285718</v>
      </c>
      <c r="Z4" s="11">
        <f t="shared" si="5"/>
        <v>6722.0314057142823</v>
      </c>
      <c r="AA4" s="12">
        <f t="shared" si="6"/>
        <v>0.20890167090622389</v>
      </c>
      <c r="AB4" s="11">
        <f t="shared" si="7"/>
        <v>38700</v>
      </c>
      <c r="AC4" s="11">
        <f t="shared" si="8"/>
        <v>6522.0314057142823</v>
      </c>
      <c r="AD4" s="11">
        <f t="shared" si="9"/>
        <v>36100</v>
      </c>
      <c r="AE4" s="11">
        <f t="shared" si="10"/>
        <v>3922.0314057142823</v>
      </c>
      <c r="AF4" s="27">
        <f t="shared" si="11"/>
        <v>8.890167090622389E-2</v>
      </c>
      <c r="AG4" s="28">
        <f t="shared" si="12"/>
        <v>2800</v>
      </c>
      <c r="AH4" s="24"/>
      <c r="AI4" s="24"/>
      <c r="AJ4" s="24"/>
      <c r="AK4" s="24"/>
      <c r="AL4" s="24"/>
      <c r="AM4" s="24"/>
    </row>
    <row r="5" spans="1:53" x14ac:dyDescent="0.25">
      <c r="A5" s="8"/>
      <c r="B5" s="9" t="s">
        <v>157</v>
      </c>
      <c r="C5" s="13" t="s">
        <v>18</v>
      </c>
      <c r="D5" s="13" t="s">
        <v>30</v>
      </c>
      <c r="E5" s="14">
        <v>45764</v>
      </c>
      <c r="F5" s="18">
        <v>4</v>
      </c>
      <c r="G5" s="18"/>
      <c r="H5" s="18" t="s">
        <v>77</v>
      </c>
      <c r="I5" s="18" t="s">
        <v>80</v>
      </c>
      <c r="J5" s="29">
        <v>45323</v>
      </c>
      <c r="K5" s="18" t="s">
        <v>76</v>
      </c>
      <c r="L5" s="18" t="s">
        <v>60</v>
      </c>
      <c r="M5" s="18" t="s">
        <v>48</v>
      </c>
      <c r="N5" s="18">
        <v>16134</v>
      </c>
      <c r="O5" s="18">
        <v>35788</v>
      </c>
      <c r="P5" s="18" t="s">
        <v>70</v>
      </c>
      <c r="Q5" s="30" t="s">
        <v>79</v>
      </c>
      <c r="R5" s="22" t="s">
        <v>81</v>
      </c>
      <c r="S5" s="21">
        <v>26</v>
      </c>
      <c r="T5" s="23">
        <v>38900</v>
      </c>
      <c r="U5" s="10">
        <f t="shared" si="0"/>
        <v>30073.949579831933</v>
      </c>
      <c r="V5" s="10">
        <f t="shared" si="1"/>
        <v>28221.394285714287</v>
      </c>
      <c r="W5" s="10">
        <f t="shared" si="2"/>
        <v>30507.327222857144</v>
      </c>
      <c r="X5" s="10">
        <f t="shared" si="3"/>
        <v>31727.620311771432</v>
      </c>
      <c r="Y5" s="10">
        <f t="shared" si="4"/>
        <v>32477.620311771432</v>
      </c>
      <c r="Z5" s="11">
        <f t="shared" si="5"/>
        <v>6422.3796882285678</v>
      </c>
      <c r="AA5" s="12">
        <f t="shared" si="6"/>
        <v>0.19774785303160874</v>
      </c>
      <c r="AB5" s="11">
        <f t="shared" si="7"/>
        <v>39000</v>
      </c>
      <c r="AC5" s="11">
        <f t="shared" si="8"/>
        <v>6522.3796882285678</v>
      </c>
      <c r="AD5" s="11">
        <f t="shared" si="9"/>
        <v>36400</v>
      </c>
      <c r="AE5" s="11">
        <f t="shared" si="10"/>
        <v>3922.3796882285678</v>
      </c>
      <c r="AF5" s="27">
        <f t="shared" si="11"/>
        <v>7.7747853031608749E-2</v>
      </c>
      <c r="AG5" s="28">
        <f t="shared" si="12"/>
        <v>2500</v>
      </c>
      <c r="AH5" s="24"/>
      <c r="AI5" s="24"/>
      <c r="AJ5" s="24"/>
      <c r="AK5" s="24"/>
      <c r="AL5" s="24"/>
      <c r="AM5" s="24"/>
    </row>
    <row r="6" spans="1:53" x14ac:dyDescent="0.25">
      <c r="A6" s="8" t="s">
        <v>83</v>
      </c>
      <c r="B6" s="9" t="s">
        <v>158</v>
      </c>
      <c r="C6" s="13" t="s">
        <v>18</v>
      </c>
      <c r="D6" s="13" t="s">
        <v>30</v>
      </c>
      <c r="E6" s="14">
        <v>45764</v>
      </c>
      <c r="F6" s="18">
        <v>5</v>
      </c>
      <c r="G6" s="18"/>
      <c r="H6" s="35" t="s">
        <v>77</v>
      </c>
      <c r="I6" s="35" t="s">
        <v>84</v>
      </c>
      <c r="J6" s="36">
        <v>45323</v>
      </c>
      <c r="K6" s="35" t="s">
        <v>85</v>
      </c>
      <c r="L6" s="35" t="s">
        <v>60</v>
      </c>
      <c r="M6" s="35" t="s">
        <v>48</v>
      </c>
      <c r="N6" s="35">
        <v>9270</v>
      </c>
      <c r="O6" s="35">
        <v>44390</v>
      </c>
      <c r="P6" s="35" t="s">
        <v>58</v>
      </c>
      <c r="Q6" s="30" t="s">
        <v>86</v>
      </c>
      <c r="R6" s="22" t="s">
        <v>82</v>
      </c>
      <c r="S6" s="21">
        <v>151</v>
      </c>
      <c r="T6" s="23">
        <v>52900</v>
      </c>
      <c r="U6" s="10">
        <f t="shared" si="0"/>
        <v>37302.521008403361</v>
      </c>
      <c r="V6" s="10">
        <f t="shared" si="1"/>
        <v>35004.685714285712</v>
      </c>
      <c r="W6" s="10">
        <f t="shared" si="2"/>
        <v>37840.065257142851</v>
      </c>
      <c r="X6" s="10">
        <f t="shared" si="3"/>
        <v>39353.667867428565</v>
      </c>
      <c r="Y6" s="10">
        <f t="shared" si="4"/>
        <v>40103.667867428565</v>
      </c>
      <c r="Z6" s="11">
        <f t="shared" si="5"/>
        <v>12796.332132571435</v>
      </c>
      <c r="AA6" s="12">
        <f t="shared" si="6"/>
        <v>0.31908134125966997</v>
      </c>
      <c r="AB6" s="11">
        <f t="shared" si="7"/>
        <v>48200</v>
      </c>
      <c r="AC6" s="11">
        <f t="shared" si="8"/>
        <v>8096.3321325714351</v>
      </c>
      <c r="AD6" s="11">
        <f t="shared" si="9"/>
        <v>45000</v>
      </c>
      <c r="AE6" s="11">
        <f t="shared" si="10"/>
        <v>4896.3321325714351</v>
      </c>
      <c r="AF6" s="27">
        <f t="shared" si="11"/>
        <v>0.19908134125966997</v>
      </c>
      <c r="AG6" s="28">
        <f t="shared" si="12"/>
        <v>7900</v>
      </c>
      <c r="AH6" s="24"/>
      <c r="AI6" s="24"/>
      <c r="AJ6" s="24"/>
      <c r="AK6" s="24"/>
      <c r="AL6" s="24"/>
      <c r="AM6" s="24"/>
    </row>
    <row r="7" spans="1:53" hidden="1" x14ac:dyDescent="0.25">
      <c r="A7" s="8"/>
      <c r="B7" s="9" t="s">
        <v>47</v>
      </c>
      <c r="C7" s="13" t="s">
        <v>18</v>
      </c>
      <c r="D7" s="13" t="s">
        <v>30</v>
      </c>
      <c r="E7" s="14">
        <v>45764</v>
      </c>
      <c r="F7" s="18">
        <v>6</v>
      </c>
      <c r="G7" s="18"/>
      <c r="H7" s="35" t="s">
        <v>77</v>
      </c>
      <c r="I7" s="35" t="s">
        <v>88</v>
      </c>
      <c r="J7" s="36">
        <v>45231</v>
      </c>
      <c r="K7" s="35" t="s">
        <v>85</v>
      </c>
      <c r="L7" s="35" t="s">
        <v>60</v>
      </c>
      <c r="M7" s="35" t="s">
        <v>48</v>
      </c>
      <c r="N7" s="35">
        <v>13850</v>
      </c>
      <c r="O7" s="35">
        <v>43800</v>
      </c>
      <c r="P7" s="35" t="s">
        <v>70</v>
      </c>
      <c r="Q7" s="30" t="s">
        <v>87</v>
      </c>
      <c r="R7" s="22" t="s">
        <v>82</v>
      </c>
      <c r="S7" s="21">
        <v>151</v>
      </c>
      <c r="T7" s="23">
        <v>52900</v>
      </c>
      <c r="U7" s="10">
        <f t="shared" si="0"/>
        <v>36806.722689075628</v>
      </c>
      <c r="V7" s="10">
        <f t="shared" si="1"/>
        <v>34539.428571428572</v>
      </c>
      <c r="W7" s="10">
        <f t="shared" si="2"/>
        <v>37337.122285714286</v>
      </c>
      <c r="X7" s="10">
        <f t="shared" si="3"/>
        <v>38830.607177142861</v>
      </c>
      <c r="Y7" s="10">
        <f t="shared" si="4"/>
        <v>39580.607177142861</v>
      </c>
      <c r="Z7" s="11">
        <f t="shared" si="5"/>
        <v>13319.392822857139</v>
      </c>
      <c r="AA7" s="12">
        <f t="shared" si="6"/>
        <v>0.33651310004533902</v>
      </c>
      <c r="AB7" s="11">
        <f t="shared" si="7"/>
        <v>47500</v>
      </c>
      <c r="AC7" s="11">
        <f t="shared" si="8"/>
        <v>7919.3928228571385</v>
      </c>
      <c r="AD7" s="11">
        <f t="shared" si="9"/>
        <v>44400</v>
      </c>
      <c r="AE7" s="11">
        <f t="shared" si="10"/>
        <v>4819.3928228571385</v>
      </c>
      <c r="AF7" s="27">
        <f t="shared" si="11"/>
        <v>0.21651310004533902</v>
      </c>
      <c r="AG7" s="28">
        <f t="shared" si="12"/>
        <v>8500</v>
      </c>
      <c r="AH7" s="24"/>
      <c r="AI7" s="24"/>
      <c r="AJ7" s="24"/>
      <c r="AK7" s="24"/>
      <c r="AL7" s="24"/>
      <c r="AM7" s="24"/>
    </row>
    <row r="8" spans="1:53" hidden="1" x14ac:dyDescent="0.25">
      <c r="A8" s="8"/>
      <c r="B8" s="9" t="s">
        <v>47</v>
      </c>
      <c r="C8" s="13" t="s">
        <v>18</v>
      </c>
      <c r="D8" s="13" t="s">
        <v>30</v>
      </c>
      <c r="E8" s="14">
        <v>45764</v>
      </c>
      <c r="F8" s="18">
        <v>7</v>
      </c>
      <c r="G8" s="18"/>
      <c r="H8" s="18" t="s">
        <v>92</v>
      </c>
      <c r="I8" s="18" t="s">
        <v>93</v>
      </c>
      <c r="J8" s="29">
        <v>45444</v>
      </c>
      <c r="K8" s="18" t="s">
        <v>91</v>
      </c>
      <c r="L8" s="18" t="s">
        <v>60</v>
      </c>
      <c r="M8" s="18" t="s">
        <v>95</v>
      </c>
      <c r="N8" s="18">
        <v>23236</v>
      </c>
      <c r="O8" s="18">
        <v>51950</v>
      </c>
      <c r="P8" s="18" t="s">
        <v>90</v>
      </c>
      <c r="Q8" s="30" t="s">
        <v>89</v>
      </c>
      <c r="R8" s="30" t="s">
        <v>94</v>
      </c>
      <c r="S8" s="21">
        <v>72</v>
      </c>
      <c r="T8" s="23">
        <v>54880</v>
      </c>
      <c r="U8" s="10">
        <f t="shared" si="0"/>
        <v>43655.462184873948</v>
      </c>
      <c r="V8" s="10">
        <f t="shared" si="1"/>
        <v>40966.28571428571</v>
      </c>
      <c r="W8" s="10">
        <f t="shared" si="2"/>
        <v>44284.554857142852</v>
      </c>
      <c r="X8" s="10">
        <f t="shared" si="3"/>
        <v>46055.937051428569</v>
      </c>
      <c r="Y8" s="10">
        <f t="shared" si="4"/>
        <v>46805.937051428569</v>
      </c>
      <c r="Z8" s="11">
        <f t="shared" si="5"/>
        <v>8074.0629485714308</v>
      </c>
      <c r="AA8" s="12">
        <f t="shared" si="6"/>
        <v>0.17250082910849451</v>
      </c>
      <c r="AB8" s="11">
        <f t="shared" si="7"/>
        <v>56200</v>
      </c>
      <c r="AC8" s="11">
        <f t="shared" si="8"/>
        <v>9394.0629485714308</v>
      </c>
      <c r="AD8" s="11">
        <f t="shared" si="9"/>
        <v>52500</v>
      </c>
      <c r="AE8" s="11">
        <f t="shared" si="10"/>
        <v>5694.0629485714308</v>
      </c>
      <c r="AF8" s="27">
        <f t="shared" si="11"/>
        <v>5.2500829108494518E-2</v>
      </c>
      <c r="AG8" s="28">
        <f t="shared" si="12"/>
        <v>2380</v>
      </c>
      <c r="AH8" s="24"/>
      <c r="AI8" s="24"/>
      <c r="AJ8" s="24"/>
      <c r="AK8" s="24"/>
      <c r="AL8" s="24"/>
      <c r="AM8" s="24"/>
    </row>
    <row r="9" spans="1:53" hidden="1" x14ac:dyDescent="0.25">
      <c r="A9" s="8"/>
      <c r="B9" s="9" t="s">
        <v>47</v>
      </c>
      <c r="C9" s="13" t="s">
        <v>18</v>
      </c>
      <c r="D9" s="13" t="s">
        <v>30</v>
      </c>
      <c r="E9" s="14">
        <v>45764</v>
      </c>
      <c r="F9" s="18">
        <v>8</v>
      </c>
      <c r="G9" s="18"/>
      <c r="H9" s="35" t="s">
        <v>77</v>
      </c>
      <c r="I9" s="35" t="s">
        <v>98</v>
      </c>
      <c r="J9" s="36">
        <v>45200</v>
      </c>
      <c r="K9" s="35" t="s">
        <v>97</v>
      </c>
      <c r="L9" s="35" t="s">
        <v>60</v>
      </c>
      <c r="M9" s="35" t="s">
        <v>48</v>
      </c>
      <c r="N9" s="35">
        <v>10263</v>
      </c>
      <c r="O9" s="35">
        <v>47900</v>
      </c>
      <c r="P9" s="35" t="s">
        <v>90</v>
      </c>
      <c r="Q9" s="30" t="s">
        <v>96</v>
      </c>
      <c r="R9" s="30" t="s">
        <v>99</v>
      </c>
      <c r="S9" s="21">
        <v>90</v>
      </c>
      <c r="T9" s="23">
        <v>53900</v>
      </c>
      <c r="U9" s="10">
        <f t="shared" si="0"/>
        <v>40252.100840336134</v>
      </c>
      <c r="V9" s="10">
        <f t="shared" si="1"/>
        <v>37772.571428571428</v>
      </c>
      <c r="W9" s="10">
        <f t="shared" si="2"/>
        <v>40832.149714285712</v>
      </c>
      <c r="X9" s="10">
        <f t="shared" si="3"/>
        <v>42465.435702857139</v>
      </c>
      <c r="Y9" s="10">
        <f t="shared" si="4"/>
        <v>43215.435702857139</v>
      </c>
      <c r="Z9" s="11">
        <f t="shared" si="5"/>
        <v>10684.564297142861</v>
      </c>
      <c r="AA9" s="12">
        <f t="shared" si="6"/>
        <v>0.24723953660003162</v>
      </c>
      <c r="AB9" s="11">
        <f t="shared" si="7"/>
        <v>51900</v>
      </c>
      <c r="AC9" s="11">
        <f t="shared" si="8"/>
        <v>8684.5642971428606</v>
      </c>
      <c r="AD9" s="11">
        <f t="shared" si="9"/>
        <v>48500</v>
      </c>
      <c r="AE9" s="11">
        <f t="shared" si="10"/>
        <v>5284.5642971428606</v>
      </c>
      <c r="AF9" s="27">
        <f t="shared" si="11"/>
        <v>0.12723953660003162</v>
      </c>
      <c r="AG9" s="28">
        <f t="shared" si="12"/>
        <v>5400</v>
      </c>
      <c r="AH9" s="24"/>
      <c r="AI9" s="24"/>
      <c r="AJ9" s="24"/>
      <c r="AK9" s="24"/>
      <c r="AL9" s="24"/>
      <c r="AM9" s="24"/>
    </row>
    <row r="10" spans="1:53" hidden="1" x14ac:dyDescent="0.25">
      <c r="A10" s="8"/>
      <c r="B10" s="9" t="s">
        <v>47</v>
      </c>
      <c r="C10" s="13" t="s">
        <v>18</v>
      </c>
      <c r="D10" s="13" t="s">
        <v>30</v>
      </c>
      <c r="E10" s="14">
        <v>45764</v>
      </c>
      <c r="F10" s="18">
        <v>9</v>
      </c>
      <c r="G10" s="18"/>
      <c r="H10" s="35" t="s">
        <v>77</v>
      </c>
      <c r="I10" s="35" t="s">
        <v>101</v>
      </c>
      <c r="J10" s="36">
        <v>45474</v>
      </c>
      <c r="K10" s="35" t="s">
        <v>97</v>
      </c>
      <c r="L10" s="35" t="s">
        <v>60</v>
      </c>
      <c r="M10" s="35" t="s">
        <v>48</v>
      </c>
      <c r="N10" s="35">
        <v>8500</v>
      </c>
      <c r="O10" s="35">
        <v>52844</v>
      </c>
      <c r="P10" s="35" t="s">
        <v>70</v>
      </c>
      <c r="Q10" s="30" t="s">
        <v>100</v>
      </c>
      <c r="R10" s="30" t="s">
        <v>102</v>
      </c>
      <c r="S10" s="21">
        <v>64</v>
      </c>
      <c r="T10" s="23">
        <f>(55900+62900+64900)/3</f>
        <v>61233.333333333336</v>
      </c>
      <c r="U10" s="10">
        <f t="shared" si="0"/>
        <v>44406.722689075636</v>
      </c>
      <c r="V10" s="10">
        <f t="shared" si="1"/>
        <v>41671.268571428576</v>
      </c>
      <c r="W10" s="10">
        <f t="shared" si="2"/>
        <v>45046.641325714292</v>
      </c>
      <c r="X10" s="10">
        <f t="shared" si="3"/>
        <v>46848.506978742866</v>
      </c>
      <c r="Y10" s="10">
        <f t="shared" si="4"/>
        <v>47598.506978742866</v>
      </c>
      <c r="Z10" s="11">
        <f t="shared" si="5"/>
        <v>13634.82635459047</v>
      </c>
      <c r="AA10" s="12">
        <f t="shared" si="6"/>
        <v>0.28645491676198331</v>
      </c>
      <c r="AB10" s="11">
        <f t="shared" si="7"/>
        <v>57200</v>
      </c>
      <c r="AC10" s="11">
        <f t="shared" si="8"/>
        <v>9601.4930212571344</v>
      </c>
      <c r="AD10" s="11">
        <f t="shared" si="9"/>
        <v>53400</v>
      </c>
      <c r="AE10" s="11">
        <f t="shared" si="10"/>
        <v>5801.4930212571344</v>
      </c>
      <c r="AF10" s="27">
        <f t="shared" si="11"/>
        <v>0.16645491676198332</v>
      </c>
      <c r="AG10" s="28">
        <f t="shared" si="12"/>
        <v>7833.3333333333358</v>
      </c>
      <c r="AH10" s="24"/>
      <c r="AI10" s="24"/>
      <c r="AJ10" s="24"/>
      <c r="AK10" s="24"/>
      <c r="AL10" s="24"/>
      <c r="AM10" s="24"/>
    </row>
    <row r="11" spans="1:53" hidden="1" x14ac:dyDescent="0.25">
      <c r="A11" s="8"/>
      <c r="B11" s="9" t="s">
        <v>47</v>
      </c>
      <c r="C11" s="13" t="s">
        <v>18</v>
      </c>
      <c r="D11" s="13" t="s">
        <v>30</v>
      </c>
      <c r="E11" s="14">
        <v>45764</v>
      </c>
      <c r="F11" s="18">
        <v>10</v>
      </c>
      <c r="G11" s="18"/>
      <c r="H11" s="18" t="s">
        <v>77</v>
      </c>
      <c r="I11" s="18" t="s">
        <v>105</v>
      </c>
      <c r="J11" s="29">
        <v>45231</v>
      </c>
      <c r="K11" s="18" t="s">
        <v>104</v>
      </c>
      <c r="L11" s="18" t="s">
        <v>60</v>
      </c>
      <c r="M11" s="18" t="s">
        <v>95</v>
      </c>
      <c r="N11" s="18">
        <v>26949</v>
      </c>
      <c r="O11" s="18">
        <v>50900</v>
      </c>
      <c r="P11" s="18" t="s">
        <v>70</v>
      </c>
      <c r="Q11" s="30" t="s">
        <v>103</v>
      </c>
      <c r="R11" s="30" t="s">
        <v>106</v>
      </c>
      <c r="S11" s="21">
        <v>21</v>
      </c>
      <c r="T11" s="23">
        <v>52900</v>
      </c>
      <c r="U11" s="10">
        <f t="shared" si="0"/>
        <v>42773.10924369748</v>
      </c>
      <c r="V11" s="10">
        <f t="shared" si="1"/>
        <v>40138.285714285717</v>
      </c>
      <c r="W11" s="10">
        <f t="shared" si="2"/>
        <v>43389.48685714286</v>
      </c>
      <c r="X11" s="10">
        <f t="shared" si="3"/>
        <v>45125.066331428578</v>
      </c>
      <c r="Y11" s="10">
        <f t="shared" si="4"/>
        <v>45875.066331428578</v>
      </c>
      <c r="Z11" s="11">
        <f t="shared" si="5"/>
        <v>7024.9336685714225</v>
      </c>
      <c r="AA11" s="12">
        <f t="shared" si="6"/>
        <v>0.15313184765378107</v>
      </c>
      <c r="AB11" s="11">
        <f t="shared" si="7"/>
        <v>55100</v>
      </c>
      <c r="AC11" s="11">
        <f t="shared" si="8"/>
        <v>9224.9336685714225</v>
      </c>
      <c r="AD11" s="11">
        <f t="shared" si="9"/>
        <v>51400</v>
      </c>
      <c r="AE11" s="11">
        <f t="shared" si="10"/>
        <v>5524.9336685714225</v>
      </c>
      <c r="AF11" s="27">
        <f t="shared" si="11"/>
        <v>3.3131847653781077E-2</v>
      </c>
      <c r="AG11" s="28">
        <f t="shared" si="12"/>
        <v>1500</v>
      </c>
      <c r="AH11" s="24"/>
      <c r="AI11" s="24"/>
      <c r="AJ11" s="24"/>
      <c r="AK11" s="24"/>
      <c r="AL11" s="24"/>
      <c r="AM11" s="24"/>
    </row>
    <row r="12" spans="1:53" hidden="1" x14ac:dyDescent="0.25">
      <c r="A12" s="8"/>
      <c r="B12" s="9" t="s">
        <v>47</v>
      </c>
      <c r="C12" s="13" t="s">
        <v>18</v>
      </c>
      <c r="D12" s="13" t="s">
        <v>30</v>
      </c>
      <c r="E12" s="14">
        <v>45764</v>
      </c>
      <c r="F12" s="18">
        <v>11</v>
      </c>
      <c r="G12" s="18"/>
      <c r="H12" s="18" t="s">
        <v>77</v>
      </c>
      <c r="I12" s="18" t="s">
        <v>108</v>
      </c>
      <c r="J12" s="29">
        <v>45261</v>
      </c>
      <c r="K12" s="18" t="s">
        <v>104</v>
      </c>
      <c r="L12" s="18" t="s">
        <v>60</v>
      </c>
      <c r="M12" s="18" t="s">
        <v>95</v>
      </c>
      <c r="N12" s="18">
        <v>10680</v>
      </c>
      <c r="O12" s="18">
        <v>50900</v>
      </c>
      <c r="P12" s="18" t="s">
        <v>72</v>
      </c>
      <c r="Q12" s="30" t="s">
        <v>107</v>
      </c>
      <c r="R12" s="30" t="s">
        <v>106</v>
      </c>
      <c r="S12" s="21">
        <v>21</v>
      </c>
      <c r="T12" s="23">
        <v>52900</v>
      </c>
      <c r="U12" s="10">
        <f t="shared" si="0"/>
        <v>42773.10924369748</v>
      </c>
      <c r="V12" s="10">
        <f t="shared" si="1"/>
        <v>40138.285714285717</v>
      </c>
      <c r="W12" s="10">
        <f t="shared" si="2"/>
        <v>43389.48685714286</v>
      </c>
      <c r="X12" s="10">
        <f t="shared" si="3"/>
        <v>45125.066331428578</v>
      </c>
      <c r="Y12" s="10">
        <f t="shared" si="4"/>
        <v>45875.066331428578</v>
      </c>
      <c r="Z12" s="11">
        <f t="shared" si="5"/>
        <v>7024.9336685714225</v>
      </c>
      <c r="AA12" s="12">
        <f t="shared" si="6"/>
        <v>0.15313184765378107</v>
      </c>
      <c r="AB12" s="11">
        <f t="shared" si="7"/>
        <v>55100</v>
      </c>
      <c r="AC12" s="11">
        <f t="shared" si="8"/>
        <v>9224.9336685714225</v>
      </c>
      <c r="AD12" s="11">
        <f t="shared" si="9"/>
        <v>51400</v>
      </c>
      <c r="AE12" s="11">
        <f t="shared" si="10"/>
        <v>5524.9336685714225</v>
      </c>
      <c r="AF12" s="27">
        <f t="shared" si="11"/>
        <v>3.3131847653781077E-2</v>
      </c>
      <c r="AG12" s="28">
        <f t="shared" si="12"/>
        <v>1500</v>
      </c>
      <c r="AH12" s="24"/>
      <c r="AI12" s="24"/>
      <c r="AJ12" s="24"/>
      <c r="AK12" s="24"/>
      <c r="AL12" s="24"/>
      <c r="AM12" s="24"/>
    </row>
    <row r="13" spans="1:53" x14ac:dyDescent="0.25">
      <c r="A13" s="8"/>
      <c r="B13" s="9" t="s">
        <v>159</v>
      </c>
      <c r="C13" s="13" t="s">
        <v>18</v>
      </c>
      <c r="D13" s="13" t="s">
        <v>30</v>
      </c>
      <c r="E13" s="14">
        <v>45764</v>
      </c>
      <c r="F13" s="18">
        <v>12</v>
      </c>
      <c r="G13" s="18"/>
      <c r="H13" s="35" t="s">
        <v>77</v>
      </c>
      <c r="I13" s="35" t="s">
        <v>112</v>
      </c>
      <c r="J13" s="36">
        <v>44682</v>
      </c>
      <c r="K13" s="35" t="s">
        <v>111</v>
      </c>
      <c r="L13" s="35" t="s">
        <v>60</v>
      </c>
      <c r="M13" s="35" t="s">
        <v>95</v>
      </c>
      <c r="N13" s="35">
        <v>35188</v>
      </c>
      <c r="O13" s="35">
        <v>53988</v>
      </c>
      <c r="P13" s="35" t="s">
        <v>70</v>
      </c>
      <c r="Q13" s="30" t="s">
        <v>110</v>
      </c>
      <c r="R13" s="30" t="s">
        <v>109</v>
      </c>
      <c r="S13" s="21">
        <v>22</v>
      </c>
      <c r="T13" s="23">
        <v>63900</v>
      </c>
      <c r="U13" s="10">
        <f t="shared" si="0"/>
        <v>45368.067226890758</v>
      </c>
      <c r="V13" s="10">
        <f t="shared" si="1"/>
        <v>42573.39428571429</v>
      </c>
      <c r="W13" s="10">
        <f t="shared" si="2"/>
        <v>46021.839222857147</v>
      </c>
      <c r="X13" s="10">
        <f t="shared" si="3"/>
        <v>47862.712791771432</v>
      </c>
      <c r="Y13" s="10">
        <f t="shared" si="4"/>
        <v>48612.712791771432</v>
      </c>
      <c r="Z13" s="11">
        <f t="shared" si="5"/>
        <v>15287.287208228568</v>
      </c>
      <c r="AA13" s="12">
        <f t="shared" si="6"/>
        <v>0.31447097539506608</v>
      </c>
      <c r="AB13" s="11">
        <f t="shared" si="7"/>
        <v>58400</v>
      </c>
      <c r="AC13" s="11">
        <f t="shared" si="8"/>
        <v>9787.2872082285685</v>
      </c>
      <c r="AD13" s="11">
        <f t="shared" si="9"/>
        <v>54500</v>
      </c>
      <c r="AE13" s="11">
        <f t="shared" si="10"/>
        <v>5887.2872082285685</v>
      </c>
      <c r="AF13" s="27">
        <f t="shared" si="11"/>
        <v>0.19447097539506608</v>
      </c>
      <c r="AG13" s="28">
        <f t="shared" si="12"/>
        <v>9400</v>
      </c>
      <c r="AH13" s="24"/>
      <c r="AI13" s="24"/>
      <c r="AJ13" s="24"/>
      <c r="AK13" s="24"/>
      <c r="AL13" s="24"/>
      <c r="AM13" s="24"/>
    </row>
    <row r="14" spans="1:53" x14ac:dyDescent="0.25">
      <c r="A14" s="8"/>
      <c r="B14" s="9" t="s">
        <v>160</v>
      </c>
      <c r="C14" s="13" t="s">
        <v>18</v>
      </c>
      <c r="D14" s="13" t="s">
        <v>30</v>
      </c>
      <c r="E14" s="14">
        <v>45764</v>
      </c>
      <c r="F14" s="18">
        <v>13</v>
      </c>
      <c r="G14" s="18"/>
      <c r="H14" s="18" t="s">
        <v>77</v>
      </c>
      <c r="I14" s="18" t="s">
        <v>114</v>
      </c>
      <c r="J14" s="29">
        <v>45383</v>
      </c>
      <c r="K14" s="18" t="s">
        <v>91</v>
      </c>
      <c r="L14" s="18" t="s">
        <v>60</v>
      </c>
      <c r="M14" s="18" t="s">
        <v>48</v>
      </c>
      <c r="N14" s="18">
        <v>10864</v>
      </c>
      <c r="O14" s="18">
        <v>58420</v>
      </c>
      <c r="P14" s="18" t="s">
        <v>70</v>
      </c>
      <c r="Q14" s="30" t="s">
        <v>113</v>
      </c>
      <c r="R14" s="30" t="s">
        <v>115</v>
      </c>
      <c r="S14" s="21">
        <v>44</v>
      </c>
      <c r="T14" s="23">
        <v>63900</v>
      </c>
      <c r="U14" s="10">
        <f t="shared" si="0"/>
        <v>49092.436974789918</v>
      </c>
      <c r="V14" s="10">
        <f t="shared" si="1"/>
        <v>46068.342857142859</v>
      </c>
      <c r="W14" s="10">
        <f t="shared" si="2"/>
        <v>49799.87862857143</v>
      </c>
      <c r="X14" s="10">
        <f t="shared" si="3"/>
        <v>51791.873773714287</v>
      </c>
      <c r="Y14" s="10">
        <f t="shared" si="4"/>
        <v>52541.873773714287</v>
      </c>
      <c r="Z14" s="11">
        <f t="shared" si="5"/>
        <v>11358.126226285713</v>
      </c>
      <c r="AA14" s="12">
        <f t="shared" si="6"/>
        <v>0.21617284292529304</v>
      </c>
      <c r="AB14" s="11">
        <f t="shared" si="7"/>
        <v>63100</v>
      </c>
      <c r="AC14" s="11">
        <f t="shared" si="8"/>
        <v>10558.126226285713</v>
      </c>
      <c r="AD14" s="11">
        <f t="shared" si="9"/>
        <v>58900</v>
      </c>
      <c r="AE14" s="11">
        <f t="shared" si="10"/>
        <v>6358.1262262857126</v>
      </c>
      <c r="AF14" s="27">
        <f t="shared" si="11"/>
        <v>9.6172842925293045E-2</v>
      </c>
      <c r="AG14" s="28">
        <f t="shared" si="12"/>
        <v>5000</v>
      </c>
      <c r="AH14" s="24"/>
      <c r="AI14" s="24"/>
      <c r="AJ14" s="24"/>
      <c r="AK14" s="24"/>
      <c r="AL14" s="24"/>
      <c r="AM14" s="24"/>
    </row>
    <row r="15" spans="1:53" x14ac:dyDescent="0.25">
      <c r="A15" s="8"/>
      <c r="B15" s="9" t="s">
        <v>161</v>
      </c>
      <c r="C15" s="13" t="s">
        <v>18</v>
      </c>
      <c r="D15" s="13" t="s">
        <v>30</v>
      </c>
      <c r="E15" s="14">
        <v>45764</v>
      </c>
      <c r="F15" s="18">
        <v>14</v>
      </c>
      <c r="G15" s="18"/>
      <c r="H15" s="35" t="s">
        <v>77</v>
      </c>
      <c r="I15" s="35" t="s">
        <v>118</v>
      </c>
      <c r="J15" s="36">
        <v>45413</v>
      </c>
      <c r="K15" s="35" t="s">
        <v>117</v>
      </c>
      <c r="L15" s="35" t="s">
        <v>60</v>
      </c>
      <c r="M15" s="35" t="s">
        <v>95</v>
      </c>
      <c r="N15" s="35">
        <v>11073</v>
      </c>
      <c r="O15" s="35">
        <v>35390</v>
      </c>
      <c r="P15" s="35" t="s">
        <v>70</v>
      </c>
      <c r="Q15" s="30" t="s">
        <v>116</v>
      </c>
      <c r="R15" s="30" t="s">
        <v>119</v>
      </c>
      <c r="S15" s="21">
        <v>4</v>
      </c>
      <c r="T15" s="23">
        <v>49900</v>
      </c>
      <c r="U15" s="10">
        <f t="shared" si="0"/>
        <v>29739.495798319331</v>
      </c>
      <c r="V15" s="10">
        <f t="shared" si="1"/>
        <v>27907.54285714286</v>
      </c>
      <c r="W15" s="10">
        <f t="shared" si="2"/>
        <v>30168.053828571432</v>
      </c>
      <c r="X15" s="10">
        <f t="shared" si="3"/>
        <v>31374.775981714291</v>
      </c>
      <c r="Y15" s="10">
        <f t="shared" si="4"/>
        <v>32124.775981714291</v>
      </c>
      <c r="Z15" s="11">
        <f t="shared" si="5"/>
        <v>17775.224018285709</v>
      </c>
      <c r="AA15" s="12">
        <f t="shared" si="6"/>
        <v>0.5533182247995605</v>
      </c>
      <c r="AB15" s="11">
        <f t="shared" si="7"/>
        <v>38600</v>
      </c>
      <c r="AC15" s="11">
        <f t="shared" si="8"/>
        <v>6475.2240182857095</v>
      </c>
      <c r="AD15" s="11">
        <f t="shared" si="9"/>
        <v>36000</v>
      </c>
      <c r="AE15" s="11">
        <f t="shared" si="10"/>
        <v>3875.2240182857095</v>
      </c>
      <c r="AF15" s="27">
        <f t="shared" si="11"/>
        <v>0.4333182247995605</v>
      </c>
      <c r="AG15" s="28">
        <f t="shared" si="12"/>
        <v>13900</v>
      </c>
      <c r="AH15" s="24"/>
      <c r="AI15" s="24"/>
      <c r="AJ15" s="24"/>
      <c r="AK15" s="24"/>
      <c r="AL15" s="24"/>
      <c r="AM15" s="24"/>
    </row>
    <row r="16" spans="1:53" hidden="1" x14ac:dyDescent="0.25">
      <c r="A16" s="8"/>
      <c r="B16" s="9" t="s">
        <v>47</v>
      </c>
      <c r="C16" s="13" t="s">
        <v>18</v>
      </c>
      <c r="D16" s="13" t="s">
        <v>30</v>
      </c>
      <c r="E16" s="14">
        <v>45764</v>
      </c>
      <c r="F16" s="18">
        <v>15</v>
      </c>
      <c r="G16" s="18"/>
      <c r="H16" s="18" t="s">
        <v>77</v>
      </c>
      <c r="I16" s="18" t="s">
        <v>126</v>
      </c>
      <c r="J16" s="29">
        <v>44835</v>
      </c>
      <c r="K16" s="18" t="s">
        <v>76</v>
      </c>
      <c r="L16" s="18" t="s">
        <v>60</v>
      </c>
      <c r="M16" s="18" t="s">
        <v>48</v>
      </c>
      <c r="N16" s="18">
        <v>20998</v>
      </c>
      <c r="O16" s="18">
        <v>22900</v>
      </c>
      <c r="P16" s="18" t="s">
        <v>90</v>
      </c>
      <c r="Q16" s="30" t="s">
        <v>125</v>
      </c>
      <c r="R16" s="30" t="s">
        <v>127</v>
      </c>
      <c r="S16" s="21">
        <v>620</v>
      </c>
      <c r="T16" s="23">
        <v>26500</v>
      </c>
      <c r="U16" s="10">
        <f t="shared" si="0"/>
        <v>19243.697478991598</v>
      </c>
      <c r="V16" s="10">
        <f t="shared" si="1"/>
        <v>18058.285714285717</v>
      </c>
      <c r="W16" s="10">
        <f t="shared" si="2"/>
        <v>19521.00685714286</v>
      </c>
      <c r="X16" s="10">
        <f t="shared" si="3"/>
        <v>20301.847131428574</v>
      </c>
      <c r="Y16" s="10">
        <f t="shared" si="4"/>
        <v>21051.847131428574</v>
      </c>
      <c r="Z16" s="11">
        <f t="shared" si="5"/>
        <v>5448.1528685714256</v>
      </c>
      <c r="AA16" s="12">
        <f t="shared" si="6"/>
        <v>0.25879690435514363</v>
      </c>
      <c r="AB16" s="11">
        <f t="shared" si="7"/>
        <v>25300</v>
      </c>
      <c r="AC16" s="11">
        <f t="shared" si="8"/>
        <v>4248.1528685714256</v>
      </c>
      <c r="AD16" s="11">
        <f t="shared" si="9"/>
        <v>23600</v>
      </c>
      <c r="AE16" s="11">
        <f t="shared" si="10"/>
        <v>2548.1528685714256</v>
      </c>
      <c r="AF16" s="27">
        <f t="shared" si="11"/>
        <v>0.13879690435514364</v>
      </c>
      <c r="AG16" s="28">
        <f t="shared" si="12"/>
        <v>2900</v>
      </c>
      <c r="AH16" s="24"/>
      <c r="AI16" s="24"/>
      <c r="AJ16" s="24"/>
      <c r="AK16" s="24"/>
      <c r="AL16" s="24"/>
      <c r="AM16" s="24"/>
    </row>
    <row r="17" spans="1:39" x14ac:dyDescent="0.25">
      <c r="A17" s="8" t="s">
        <v>163</v>
      </c>
      <c r="B17" s="9" t="s">
        <v>162</v>
      </c>
      <c r="C17" s="13" t="s">
        <v>18</v>
      </c>
      <c r="D17" s="13" t="s">
        <v>30</v>
      </c>
      <c r="E17" s="14">
        <v>45764</v>
      </c>
      <c r="F17" s="18">
        <v>16</v>
      </c>
      <c r="G17" s="18"/>
      <c r="H17" s="35" t="s">
        <v>92</v>
      </c>
      <c r="I17" s="35" t="s">
        <v>128</v>
      </c>
      <c r="J17" s="36">
        <v>45474</v>
      </c>
      <c r="K17" s="35" t="s">
        <v>117</v>
      </c>
      <c r="L17" s="35" t="s">
        <v>60</v>
      </c>
      <c r="M17" s="35" t="s">
        <v>48</v>
      </c>
      <c r="N17" s="35">
        <v>28322</v>
      </c>
      <c r="O17" s="35">
        <v>33480</v>
      </c>
      <c r="P17" s="35" t="s">
        <v>70</v>
      </c>
      <c r="Q17" s="30" t="s">
        <v>129</v>
      </c>
      <c r="R17" s="30" t="s">
        <v>130</v>
      </c>
      <c r="S17" s="21">
        <v>82</v>
      </c>
      <c r="T17" s="23">
        <v>37400</v>
      </c>
      <c r="U17" s="10">
        <f t="shared" si="0"/>
        <v>28134.453781512606</v>
      </c>
      <c r="V17" s="10">
        <f t="shared" si="1"/>
        <v>26401.37142857143</v>
      </c>
      <c r="W17" s="10">
        <f t="shared" si="2"/>
        <v>28539.882514285717</v>
      </c>
      <c r="X17" s="10">
        <f t="shared" si="3"/>
        <v>29681.477814857146</v>
      </c>
      <c r="Y17" s="10">
        <f t="shared" si="4"/>
        <v>30431.477814857146</v>
      </c>
      <c r="Z17" s="11">
        <f t="shared" si="5"/>
        <v>6968.5221851428541</v>
      </c>
      <c r="AA17" s="12">
        <f t="shared" si="6"/>
        <v>0.22899059413212944</v>
      </c>
      <c r="AB17" s="11">
        <f t="shared" si="7"/>
        <v>36600</v>
      </c>
      <c r="AC17" s="11">
        <f t="shared" si="8"/>
        <v>6168.5221851428541</v>
      </c>
      <c r="AD17" s="11">
        <f t="shared" si="9"/>
        <v>34100</v>
      </c>
      <c r="AE17" s="11">
        <f t="shared" si="10"/>
        <v>3668.5221851428541</v>
      </c>
      <c r="AF17" s="27">
        <f t="shared" si="11"/>
        <v>0.10899059413212944</v>
      </c>
      <c r="AG17" s="28">
        <f t="shared" si="12"/>
        <v>3300</v>
      </c>
      <c r="AH17" s="24"/>
      <c r="AI17" s="24"/>
      <c r="AJ17" s="24"/>
      <c r="AK17" s="24"/>
      <c r="AL17" s="24"/>
      <c r="AM17" s="24"/>
    </row>
    <row r="18" spans="1:39" x14ac:dyDescent="0.25">
      <c r="A18" s="8"/>
      <c r="B18" s="9" t="s">
        <v>157</v>
      </c>
      <c r="C18" s="13" t="s">
        <v>18</v>
      </c>
      <c r="D18" s="13" t="s">
        <v>30</v>
      </c>
      <c r="E18" s="14">
        <v>45764</v>
      </c>
      <c r="F18" s="18">
        <v>17</v>
      </c>
      <c r="G18" s="18"/>
      <c r="H18" s="18" t="s">
        <v>133</v>
      </c>
      <c r="I18" s="18" t="s">
        <v>134</v>
      </c>
      <c r="J18" s="29">
        <v>45444</v>
      </c>
      <c r="K18" s="18" t="s">
        <v>132</v>
      </c>
      <c r="L18" s="18" t="s">
        <v>60</v>
      </c>
      <c r="M18" s="18" t="s">
        <v>48</v>
      </c>
      <c r="N18" s="18">
        <v>32200</v>
      </c>
      <c r="O18" s="18">
        <v>32980</v>
      </c>
      <c r="P18" s="18" t="s">
        <v>70</v>
      </c>
      <c r="Q18" s="30" t="s">
        <v>131</v>
      </c>
      <c r="R18" s="30" t="s">
        <v>135</v>
      </c>
      <c r="S18" s="21">
        <v>73</v>
      </c>
      <c r="T18" s="23">
        <v>41990</v>
      </c>
      <c r="U18" s="10">
        <f t="shared" ref="U18:U23" si="13">IF(O18="","",IF(C18="Sweden",O18/1.25,IF(C18="Germany",O18/1.19,IF(C18="Spain",O18/1.21,IF(C18="Poland",O18/1.23,IF(C18="France",O18/1.2))))))</f>
        <v>27714.285714285714</v>
      </c>
      <c r="V18" s="10">
        <f t="shared" ref="V18:V23" si="14">IF(O18="","",U18*$AO$1)</f>
        <v>26007.085714285713</v>
      </c>
      <c r="W18" s="10">
        <f t="shared" ref="W18:W23" si="15">IF(N18="","",V18*1.081)</f>
        <v>28113.659657142856</v>
      </c>
      <c r="X18" s="10">
        <f t="shared" ref="X18:X23" si="16">IF(N18="","",W18*(1+$BA$1))</f>
        <v>29238.20604342857</v>
      </c>
      <c r="Y18" s="10">
        <f t="shared" ref="Y18:Y23" si="17">IF(O18="","",IF(OR(M18="Elektro",M18="Hybrid"),(X18+$AR$1+$AX$1+$AU$1),(X18+$AR$1+$AX$1)))</f>
        <v>29988.20604342857</v>
      </c>
      <c r="Z18" s="11">
        <f t="shared" ref="Z18:Z23" si="18">IF(OR(Y18="",T18=""),"",T18-Y18)</f>
        <v>12001.79395657143</v>
      </c>
      <c r="AA18" s="12">
        <f t="shared" ref="AA18:AA23" si="19">IF(OR(T18="",Y18="",T18=""),"",(T18-Y18)/Y18)</f>
        <v>0.40021713667001524</v>
      </c>
      <c r="AB18" s="11">
        <f t="shared" ref="AB18:AB23" si="20">IF(Y18="","",CEILING(Y18*(1+$AI$1),100))</f>
        <v>36000</v>
      </c>
      <c r="AC18" s="11">
        <f t="shared" ref="AC18:AC23" si="21">IF(AB18="","",AB18-Y18)</f>
        <v>6011.7939565714296</v>
      </c>
      <c r="AD18" s="11">
        <f t="shared" ref="AD18:AD23" si="22">IF(Y18="","",CEILING(Y18*(1+$AL$1),100))</f>
        <v>33600</v>
      </c>
      <c r="AE18" s="11">
        <f t="shared" ref="AE18:AE23" si="23">IF(AD18="","",AD18-Y18)</f>
        <v>3611.7939565714296</v>
      </c>
      <c r="AF18" s="27">
        <f t="shared" ref="AF18:AF23" si="24">IF(OR(T18="",Y18="",T18=""),"",(AA18-$AL$1))</f>
        <v>0.28021713667001524</v>
      </c>
      <c r="AG18" s="28">
        <f t="shared" ref="AG18:AG23" si="25">IF(OR(AD18="",T18=""),"",T18-AD18)</f>
        <v>8390</v>
      </c>
      <c r="AH18" s="24"/>
      <c r="AI18" s="24"/>
      <c r="AJ18" s="24"/>
      <c r="AK18" s="24"/>
      <c r="AL18" s="24"/>
      <c r="AM18" s="24"/>
    </row>
    <row r="19" spans="1:39" hidden="1" x14ac:dyDescent="0.25">
      <c r="A19" s="8"/>
      <c r="B19" s="9" t="s">
        <v>47</v>
      </c>
      <c r="C19" s="13" t="s">
        <v>18</v>
      </c>
      <c r="D19" s="13" t="s">
        <v>30</v>
      </c>
      <c r="E19" s="14">
        <v>45764</v>
      </c>
      <c r="F19" s="18">
        <v>18</v>
      </c>
      <c r="G19" s="18"/>
      <c r="H19" s="35" t="s">
        <v>92</v>
      </c>
      <c r="I19" s="35" t="s">
        <v>139</v>
      </c>
      <c r="J19" s="36">
        <v>45047</v>
      </c>
      <c r="K19" s="35" t="s">
        <v>138</v>
      </c>
      <c r="L19" s="35" t="s">
        <v>60</v>
      </c>
      <c r="M19" s="35" t="s">
        <v>48</v>
      </c>
      <c r="N19" s="35">
        <v>25425</v>
      </c>
      <c r="O19" s="35">
        <v>66990</v>
      </c>
      <c r="P19" s="35" t="s">
        <v>121</v>
      </c>
      <c r="Q19" s="30" t="s">
        <v>136</v>
      </c>
      <c r="R19" s="30" t="s">
        <v>137</v>
      </c>
      <c r="S19" s="21">
        <v>35</v>
      </c>
      <c r="T19" s="23">
        <v>72999</v>
      </c>
      <c r="U19" s="10">
        <f t="shared" si="13"/>
        <v>56294.117647058825</v>
      </c>
      <c r="V19" s="10">
        <f t="shared" si="14"/>
        <v>52826.400000000001</v>
      </c>
      <c r="W19" s="10">
        <f t="shared" si="15"/>
        <v>57105.338400000001</v>
      </c>
      <c r="X19" s="10">
        <f t="shared" si="16"/>
        <v>59389.551936000003</v>
      </c>
      <c r="Y19" s="10">
        <f t="shared" si="17"/>
        <v>60139.551936000003</v>
      </c>
      <c r="Z19" s="11">
        <f t="shared" si="18"/>
        <v>12859.448063999997</v>
      </c>
      <c r="AA19" s="12">
        <f t="shared" si="19"/>
        <v>0.21382680199687737</v>
      </c>
      <c r="AB19" s="11">
        <f t="shared" si="20"/>
        <v>72200</v>
      </c>
      <c r="AC19" s="11">
        <f t="shared" si="21"/>
        <v>12060.448063999997</v>
      </c>
      <c r="AD19" s="11">
        <f t="shared" si="22"/>
        <v>67400</v>
      </c>
      <c r="AE19" s="11">
        <f t="shared" si="23"/>
        <v>7260.4480639999965</v>
      </c>
      <c r="AF19" s="27">
        <f t="shared" si="24"/>
        <v>9.3826801996877374E-2</v>
      </c>
      <c r="AG19" s="28">
        <f t="shared" si="25"/>
        <v>5599</v>
      </c>
      <c r="AH19" s="24"/>
      <c r="AI19" s="24"/>
      <c r="AJ19" s="24"/>
      <c r="AK19" s="24"/>
      <c r="AL19" s="24"/>
      <c r="AM19" s="24"/>
    </row>
    <row r="20" spans="1:39" hidden="1" x14ac:dyDescent="0.25">
      <c r="A20" s="8"/>
      <c r="B20" s="9" t="s">
        <v>164</v>
      </c>
      <c r="C20" s="13" t="s">
        <v>18</v>
      </c>
      <c r="D20" s="13" t="s">
        <v>30</v>
      </c>
      <c r="E20" s="14">
        <v>45764</v>
      </c>
      <c r="F20" s="18">
        <v>19</v>
      </c>
      <c r="G20" s="18"/>
      <c r="H20" s="35" t="s">
        <v>92</v>
      </c>
      <c r="I20" s="35" t="s">
        <v>141</v>
      </c>
      <c r="J20" s="36">
        <v>45261</v>
      </c>
      <c r="K20" s="35" t="s">
        <v>138</v>
      </c>
      <c r="L20" s="35" t="s">
        <v>60</v>
      </c>
      <c r="M20" s="35" t="s">
        <v>48</v>
      </c>
      <c r="N20" s="35">
        <v>26200</v>
      </c>
      <c r="O20" s="35">
        <v>65750</v>
      </c>
      <c r="P20" s="35" t="s">
        <v>72</v>
      </c>
      <c r="Q20" s="30" t="s">
        <v>140</v>
      </c>
      <c r="R20" s="30" t="s">
        <v>137</v>
      </c>
      <c r="S20" s="21">
        <v>35</v>
      </c>
      <c r="T20" s="23">
        <v>72999</v>
      </c>
      <c r="U20" s="10">
        <f t="shared" si="13"/>
        <v>55252.100840336134</v>
      </c>
      <c r="V20" s="10">
        <f t="shared" si="14"/>
        <v>51848.571428571428</v>
      </c>
      <c r="W20" s="10">
        <f t="shared" si="15"/>
        <v>56048.305714285714</v>
      </c>
      <c r="X20" s="10">
        <f t="shared" si="16"/>
        <v>58290.237942857144</v>
      </c>
      <c r="Y20" s="10">
        <f t="shared" si="17"/>
        <v>59040.237942857144</v>
      </c>
      <c r="Z20" s="11">
        <f t="shared" si="18"/>
        <v>13958.762057142856</v>
      </c>
      <c r="AA20" s="12">
        <f t="shared" si="19"/>
        <v>0.23642794378052853</v>
      </c>
      <c r="AB20" s="11">
        <f t="shared" si="20"/>
        <v>70900</v>
      </c>
      <c r="AC20" s="11">
        <f t="shared" si="21"/>
        <v>11859.762057142856</v>
      </c>
      <c r="AD20" s="11">
        <f t="shared" si="22"/>
        <v>66200</v>
      </c>
      <c r="AE20" s="11">
        <f t="shared" si="23"/>
        <v>7159.7620571428561</v>
      </c>
      <c r="AF20" s="27">
        <f t="shared" si="24"/>
        <v>0.11642794378052854</v>
      </c>
      <c r="AG20" s="28">
        <f t="shared" si="25"/>
        <v>6799</v>
      </c>
      <c r="AH20" s="24"/>
      <c r="AI20" s="24"/>
      <c r="AJ20" s="24"/>
      <c r="AK20" s="24"/>
      <c r="AL20" s="24"/>
      <c r="AM20" s="24"/>
    </row>
    <row r="21" spans="1:39" hidden="1" x14ac:dyDescent="0.25">
      <c r="A21" s="8"/>
      <c r="B21" s="9" t="s">
        <v>47</v>
      </c>
      <c r="C21" s="13" t="s">
        <v>18</v>
      </c>
      <c r="D21" s="13" t="s">
        <v>30</v>
      </c>
      <c r="E21" s="14">
        <v>45764</v>
      </c>
      <c r="F21" s="18">
        <v>20</v>
      </c>
      <c r="G21" s="18"/>
      <c r="H21" s="18" t="s">
        <v>144</v>
      </c>
      <c r="I21" s="18" t="s">
        <v>145</v>
      </c>
      <c r="J21" s="29">
        <v>45717</v>
      </c>
      <c r="K21" s="18" t="s">
        <v>91</v>
      </c>
      <c r="L21" s="18" t="s">
        <v>60</v>
      </c>
      <c r="M21" s="18" t="s">
        <v>48</v>
      </c>
      <c r="N21" s="18">
        <v>10</v>
      </c>
      <c r="O21" s="18">
        <v>46950</v>
      </c>
      <c r="P21" s="18" t="s">
        <v>70</v>
      </c>
      <c r="Q21" s="30" t="s">
        <v>143</v>
      </c>
      <c r="R21" s="30" t="s">
        <v>142</v>
      </c>
      <c r="S21" s="21">
        <v>15</v>
      </c>
      <c r="T21" s="23">
        <v>58900</v>
      </c>
      <c r="U21" s="10">
        <f t="shared" si="13"/>
        <v>39453.781512605041</v>
      </c>
      <c r="V21" s="10">
        <f t="shared" si="14"/>
        <v>37023.428571428572</v>
      </c>
      <c r="W21" s="10">
        <f t="shared" si="15"/>
        <v>40022.326285714284</v>
      </c>
      <c r="X21" s="10">
        <f t="shared" si="16"/>
        <v>41623.219337142858</v>
      </c>
      <c r="Y21" s="10">
        <f t="shared" si="17"/>
        <v>42373.219337142858</v>
      </c>
      <c r="Z21" s="11">
        <f t="shared" si="18"/>
        <v>16526.780662857142</v>
      </c>
      <c r="AA21" s="12">
        <f t="shared" si="19"/>
        <v>0.39002891263374817</v>
      </c>
      <c r="AB21" s="11">
        <f t="shared" si="20"/>
        <v>50900</v>
      </c>
      <c r="AC21" s="11">
        <f t="shared" si="21"/>
        <v>8526.7806628571416</v>
      </c>
      <c r="AD21" s="11">
        <f t="shared" si="22"/>
        <v>47500</v>
      </c>
      <c r="AE21" s="11">
        <f t="shared" si="23"/>
        <v>5126.7806628571416</v>
      </c>
      <c r="AF21" s="27">
        <f t="shared" si="24"/>
        <v>0.27002891263374817</v>
      </c>
      <c r="AG21" s="28">
        <f t="shared" si="25"/>
        <v>11400</v>
      </c>
      <c r="AH21" s="24"/>
      <c r="AI21" s="24"/>
      <c r="AJ21" s="24"/>
      <c r="AK21" s="24"/>
      <c r="AL21" s="24"/>
      <c r="AM21" s="24"/>
    </row>
    <row r="22" spans="1:39" hidden="1" x14ac:dyDescent="0.25">
      <c r="A22" s="8"/>
      <c r="B22" s="9" t="s">
        <v>47</v>
      </c>
      <c r="C22" s="13" t="s">
        <v>18</v>
      </c>
      <c r="D22" s="13" t="s">
        <v>30</v>
      </c>
      <c r="E22" s="14">
        <v>45764</v>
      </c>
      <c r="F22" s="18">
        <v>21</v>
      </c>
      <c r="G22" s="18"/>
      <c r="H22" s="35" t="s">
        <v>62</v>
      </c>
      <c r="I22" s="35" t="s">
        <v>148</v>
      </c>
      <c r="J22" s="36">
        <v>45200</v>
      </c>
      <c r="K22" s="35" t="s">
        <v>147</v>
      </c>
      <c r="L22" s="35" t="s">
        <v>60</v>
      </c>
      <c r="M22" s="35" t="s">
        <v>48</v>
      </c>
      <c r="N22" s="35">
        <v>26346</v>
      </c>
      <c r="O22" s="35">
        <v>53990</v>
      </c>
      <c r="P22" s="35" t="s">
        <v>72</v>
      </c>
      <c r="Q22" s="30" t="s">
        <v>146</v>
      </c>
      <c r="R22" s="30" t="s">
        <v>149</v>
      </c>
      <c r="S22" s="21">
        <v>5</v>
      </c>
      <c r="T22" s="23">
        <v>64900</v>
      </c>
      <c r="U22" s="10">
        <f t="shared" si="13"/>
        <v>45369.747899159665</v>
      </c>
      <c r="V22" s="10">
        <f t="shared" si="14"/>
        <v>42574.971428571429</v>
      </c>
      <c r="W22" s="10">
        <f t="shared" si="15"/>
        <v>46023.544114285716</v>
      </c>
      <c r="X22" s="10">
        <f t="shared" si="16"/>
        <v>47864.485878857144</v>
      </c>
      <c r="Y22" s="10">
        <f t="shared" si="17"/>
        <v>48614.485878857144</v>
      </c>
      <c r="Z22" s="11">
        <f t="shared" si="18"/>
        <v>16285.514121142856</v>
      </c>
      <c r="AA22" s="12">
        <f t="shared" si="19"/>
        <v>0.3349930340048205</v>
      </c>
      <c r="AB22" s="11">
        <f t="shared" si="20"/>
        <v>58400</v>
      </c>
      <c r="AC22" s="11">
        <f t="shared" si="21"/>
        <v>9785.5141211428563</v>
      </c>
      <c r="AD22" s="11">
        <f t="shared" si="22"/>
        <v>54500</v>
      </c>
      <c r="AE22" s="11">
        <f t="shared" si="23"/>
        <v>5885.5141211428563</v>
      </c>
      <c r="AF22" s="27">
        <f t="shared" si="24"/>
        <v>0.2149930340048205</v>
      </c>
      <c r="AG22" s="28">
        <f t="shared" si="25"/>
        <v>10400</v>
      </c>
      <c r="AH22" s="24"/>
      <c r="AI22" s="24"/>
      <c r="AJ22" s="24"/>
      <c r="AK22" s="24"/>
      <c r="AL22" s="24"/>
      <c r="AM22" s="24"/>
    </row>
    <row r="23" spans="1:39" x14ac:dyDescent="0.25">
      <c r="A23" s="8"/>
      <c r="B23" s="9" t="s">
        <v>159</v>
      </c>
      <c r="C23" s="13" t="s">
        <v>18</v>
      </c>
      <c r="D23" s="13" t="s">
        <v>30</v>
      </c>
      <c r="E23" s="14">
        <v>45764</v>
      </c>
      <c r="F23" s="18">
        <v>22</v>
      </c>
      <c r="G23" s="18"/>
      <c r="H23" s="35" t="s">
        <v>62</v>
      </c>
      <c r="I23" s="35" t="s">
        <v>152</v>
      </c>
      <c r="J23" s="36">
        <v>45108</v>
      </c>
      <c r="K23" s="35" t="s">
        <v>147</v>
      </c>
      <c r="L23" s="35" t="s">
        <v>60</v>
      </c>
      <c r="M23" s="35" t="s">
        <v>48</v>
      </c>
      <c r="N23" s="35">
        <v>23900</v>
      </c>
      <c r="O23" s="35">
        <v>53790</v>
      </c>
      <c r="P23" s="35" t="s">
        <v>58</v>
      </c>
      <c r="Q23" s="30" t="s">
        <v>151</v>
      </c>
      <c r="R23" s="30" t="s">
        <v>150</v>
      </c>
      <c r="S23" s="21">
        <v>2</v>
      </c>
      <c r="T23" s="23">
        <v>67500</v>
      </c>
      <c r="U23" s="10">
        <f t="shared" si="13"/>
        <v>45201.680672268907</v>
      </c>
      <c r="V23" s="10">
        <f t="shared" si="14"/>
        <v>42417.257142857146</v>
      </c>
      <c r="W23" s="10">
        <f t="shared" si="15"/>
        <v>45853.054971428573</v>
      </c>
      <c r="X23" s="10">
        <f t="shared" si="16"/>
        <v>47687.177170285715</v>
      </c>
      <c r="Y23" s="10">
        <f t="shared" si="17"/>
        <v>48437.177170285715</v>
      </c>
      <c r="Z23" s="11">
        <f t="shared" si="18"/>
        <v>19062.822829714285</v>
      </c>
      <c r="AA23" s="12">
        <f t="shared" si="19"/>
        <v>0.39355767497963468</v>
      </c>
      <c r="AB23" s="11">
        <f t="shared" si="20"/>
        <v>58200</v>
      </c>
      <c r="AC23" s="11">
        <f t="shared" si="21"/>
        <v>9762.822829714285</v>
      </c>
      <c r="AD23" s="11">
        <f t="shared" si="22"/>
        <v>54300</v>
      </c>
      <c r="AE23" s="11">
        <f t="shared" si="23"/>
        <v>5862.822829714285</v>
      </c>
      <c r="AF23" s="27">
        <f t="shared" si="24"/>
        <v>0.27355767497963468</v>
      </c>
      <c r="AG23" s="28">
        <f t="shared" si="25"/>
        <v>13200</v>
      </c>
      <c r="AH23" s="24"/>
      <c r="AI23" s="24"/>
      <c r="AJ23" s="24"/>
      <c r="AK23" s="24"/>
      <c r="AL23" s="24"/>
      <c r="AM23" s="24"/>
    </row>
  </sheetData>
  <autoFilter ref="A1:BA23" xr:uid="{EC7D0121-D4AF-4992-99AB-4A04CA251054}">
    <filterColumn colId="1">
      <filters>
        <filter val="Online: 36900"/>
        <filter val="Online: 38900"/>
        <filter val="Online: 39900"/>
        <filter val="Online: 49900"/>
        <filter val="Online: 59900"/>
        <filter val="Online: 62900"/>
      </filters>
    </filterColumn>
  </autoFilter>
  <phoneticPr fontId="7" type="noConversion"/>
  <conditionalFormatting sqref="Z2:AE23 AH2:AM23">
    <cfRule type="cellIs" dxfId="3" priority="5" operator="lessThan">
      <formula>0</formula>
    </cfRule>
    <cfRule type="cellIs" dxfId="2" priority="6" operator="greaterThan">
      <formula>0</formula>
    </cfRule>
  </conditionalFormatting>
  <hyperlinks>
    <hyperlink ref="Q6" r:id="rId1" display="https://suchen.mobile.de/fahrzeuge/details.html?id=420892046&amp;ao=PICTURES&amp;c=Limousine&amp;c=SportsCar&amp;cn=DE&amp;dam=false&amp;fr=2024%3A&amp;ft=PETROL&amp;isSearchRequest=true&amp;it=LEATHER&amp;ml=%3A40000&amp;ms=17200%3B228%3B%3B&amp;ms=17200%3B258%3B%3B&amp;od=up&amp;ref=srp&amp;refId=70c22cc0-d3c1-87d2-7215-fff79bb54ce7&amp;s=Car&amp;sb=p&amp;searchId=70c22cc0-d3c1-87d2-7215-fff79bb54ce7&amp;st=DEALER&amp;tr=AUTOMATIC_GEAR&amp;vc=Car" xr:uid="{7479310D-08AF-4050-869E-6366B3FB25BB}"/>
    <hyperlink ref="R8" r:id="rId2" display="https://www.autoscout24.ch/de/s/mo-q5/mk-audi?firstRegistrationYearFrom=2024&amp;mileageTo=40000&amp;fuelTypeGroups%5B0=&amp;transmissionTypeGroups%5B0%5D=automatic&amp;kiloWattsFrom=150&amp;kiloWattsTo=150&amp;gear=A&amp;custtype=D&amp;ocs_listing=include&amp;size=20&amp;fc=40&amp;recommended_sorting_based_id=513bc40d-5456-4337-acec-442b28cf4d86&amp;search_id=yat2p898x6&amp;hadNoAccidentOnly=true&amp;fuelTypes%5B0%5D=diesel&amp;fuelTypes%5B1%5D=mhev-diesel&amp;sort%5B0%5D%5Btype%5D=PRICE&amp;sort%5B0%5D%5Border%5D=ASC" xr:uid="{9F770CEB-75E5-47D2-B30C-17761C6454A7}"/>
    <hyperlink ref="R11" r:id="rId3" display="https://www.autoscout24.ch/de/s/mg-e-class/mk-mercedes-benz/bt-saloon?firstRegistrationYearFrom=2022&amp;mileageTo=40000&amp;fuelTypeGroups%5B0=&amp;transmissionTypeGroups%5B0%5D=automatic&amp;hadNoAccidentOnly=true&amp;fuelTypes%5B0%5D=diesel&amp;fuelTypes%5B1%5D=mhev-diesel&amp;driveTypes%5B0%5D=all&amp;kiloWattsFrom=190&amp;sort%5B0%5D%5Btype%5D=PRICE&amp;sort%5B0%5D%5Border%5D=ASC" xr:uid="{BB4587B4-1291-4172-AFA0-ECA112D3B775}"/>
    <hyperlink ref="R12" r:id="rId4" display="https://www.autoscout24.ch/de/s/mg-e-class/mk-mercedes-benz/bt-saloon?firstRegistrationYearFrom=2022&amp;mileageTo=40000&amp;fuelTypeGroups%5B0=&amp;transmissionTypeGroups%5B0%5D=automatic&amp;hadNoAccidentOnly=true&amp;fuelTypes%5B0%5D=diesel&amp;fuelTypes%5B1%5D=mhev-diesel&amp;driveTypes%5B0%5D=all&amp;kiloWattsFrom=190&amp;sort%5B0%5D%5Btype%5D=PRICE&amp;sort%5B0%5D%5Border%5D=ASC" xr:uid="{0FFCAFBB-F686-4B9B-8FE1-A6D993E142C6}"/>
    <hyperlink ref="Q9" r:id="rId5" display="https://suchen.mobile.de/fahrzeuge/details.html?id=419757481&amp;ao=PICTURES&amp;c=Limousine&amp;cn=DE&amp;dam=false&amp;dt=ALL_WHEEL&amp;fr=2023%3A&amp;ft=PETROL&amp;isSearchRequest=true&amp;ml=%3A40000&amp;ms=17200%3B%3B6%3B&amp;od=up&amp;pw=184%3A&amp;ref=srp&amp;refId=cc91d089-e2de-1c7a-032c-ad7b7e4b50c1&amp;s=Car&amp;sb=p&amp;searchId=cc91d089-e2de-1c7a-032c-ad7b7e4b50c1&amp;st=DEALER&amp;tr=AUTOMATIC_GEAR&amp;vc=Car" xr:uid="{F8569BD7-9DAC-4458-BB5D-9EF3E425F4A4}"/>
    <hyperlink ref="Q19" r:id="rId6" display="https://suchen.mobile.de/fahrzeuge/details.html?id=400105161&amp;action=eyeCatcher&amp;ao=PICTURES&amp;cn=DE&amp;dam=false&amp;fr=2023%3A&amp;ft=PETROL&amp;isSearchRequest=true&amp;ml=%3A40000&amp;ms=1900%3B27%3B%3B&amp;od=up&amp;pw=331%3A331&amp;ref=srp&amp;refId=a08086a2-f0cf-2787-5cd8-99977454e60e&amp;s=Car&amp;sb=p&amp;searchId=a08086a2-f0cf-2787-5cd8-99977454e60e&amp;st=DEALER&amp;tr=AUTOMATIC_GEAR&amp;vc=Car" xr:uid="{EAB2DFE6-35BD-4BED-949B-C47348BF2FC9}"/>
    <hyperlink ref="Q2" r:id="rId7" display="https://suchen.mobile.de/fahrzeuge/details.html?id=423272574&amp;ao=PICTURES&amp;cn=DE&amp;dam=false&amp;fr=2025%3A&amp;ft=ELECTRICITY&amp;isSearchRequest=true&amp;ml=%3A5000&amp;ms=3500%3B331%3B%3B&amp;od=up&amp;pw=240%3A&amp;ref=srp&amp;refId=fd66ada3-6ae8-93b4-aa39-d19af355ab22&amp;s=Car&amp;sb=p&amp;searchId=fd66ada3-6ae8-93b4-aa39-d19af355ab22&amp;st=DEALER&amp;tr=AUTOMATIC_GEAR&amp;vc=Car" xr:uid="{4E3F5418-063E-4383-95FB-41B380E50421}"/>
    <hyperlink ref="Q3" r:id="rId8" display="https://suchen.mobile.de/fahrzeuge/details.html?id=407850384&amp;ao=PICTURES&amp;cn=DE&amp;dam=false&amp;fr=2025%3A&amp;ft=ELECTRICITY&amp;isSearchRequest=true&amp;ml=%3A5000&amp;ms=3500%3B331%3B%3B&amp;od=up&amp;pw=301%3A&amp;ref=srp&amp;refId=38514537-ec10-2dfb-d9c3-0b950d953ac9&amp;s=Car&amp;sb=p&amp;searchId=38514537-ec10-2dfb-d9c3-0b950d953ac9&amp;st=DEALER&amp;tr=AUTOMATIC_GEAR&amp;vc=Car" xr:uid="{BC43B52C-C2BA-4DD3-AABD-007E3141980A}"/>
    <hyperlink ref="Q4" r:id="rId9" display="https://suchen.mobile.de/fahrzeuge/details.html?id=417295023&amp;ao=PICTURES&amp;c=Limousine&amp;c=SportsCar&amp;cn=DE&amp;dam=false&amp;fr=2024%3A&amp;ft=PETROL&amp;isSearchRequest=true&amp;it=LEATHER&amp;ml=%3A40000&amp;ms=17200%3B226%3B%3B&amp;ms=17200%3B256%3B%3B&amp;od=up&amp;pw=120%3A120&amp;ref=srp&amp;refId=cd84b376-d570-55c6-34c8-17bfb34f5551&amp;s=Car&amp;sb=p&amp;searchId=cd84b376-d570-55c6-34c8-17bfb34f5551&amp;st=DEALER&amp;tr=AUTOMATIC_GEAR&amp;vc=Car" xr:uid="{08C1A92A-F81F-49A4-9FE1-1DC1707C44DB}"/>
    <hyperlink ref="Q5" r:id="rId10" display="https://suchen.mobile.de/fahrzeuge/details.html?id=422423917&amp;ao=PICTURES&amp;c=Limousine&amp;c=SportsCar&amp;cn=DE&amp;dam=false&amp;fr=2024%3A&amp;ft=PETROL&amp;isSearchRequest=true&amp;it=LEATHER&amp;ml=%3A40000&amp;ms=17200%3B226%3B%3B&amp;ms=17200%3B256%3B%3B&amp;od=up&amp;pw=120%3A120&amp;ref=srp&amp;refId=cd84b376-d570-55c6-34c8-17bfb34f5551&amp;s=Car&amp;sb=p&amp;searchId=cd84b376-d570-55c6-34c8-17bfb34f5551&amp;st=DEALER&amp;tr=AUTOMATIC_GEAR&amp;vc=Car" xr:uid="{8628D6C8-1679-4661-8F19-062C1BC83490}"/>
    <hyperlink ref="Q7" r:id="rId11" display="https://suchen.mobile.de/fahrzeuge/details.html?id=418454787&amp;ao=PICTURES&amp;c=Limousine&amp;c=SportsCar&amp;cn=DE&amp;dam=false&amp;fr=2023%3A&amp;ft=PETROL&amp;isSearchRequest=true&amp;it=LEATHER&amp;ml=%3A40000&amp;ms=17200%3B228%3B%3B&amp;ms=17200%3B258%3B%3B&amp;od=up&amp;ref=srp&amp;refId=6e8ecde1-4c2d-2862-76cb-b97f0692a94a&amp;s=Car&amp;sb=p&amp;searchId=6e8ecde1-4c2d-2862-76cb-b97f0692a94a&amp;st=DEALER&amp;tr=AUTOMATIC_GEAR&amp;vc=Car" xr:uid="{AC8F526C-5CC2-4FB7-AD59-044CC58A3F69}"/>
    <hyperlink ref="Q8" r:id="rId12" display="https://suchen.mobile.de/fahrzeuge/details.html?id=418335693&amp;ao=PICTURES&amp;cn=DE&amp;dam=false&amp;ecol=SILVER&amp;fr=2024%3A&amp;ft=DIESEL&amp;isSearchRequest=true&amp;ml=%3A40000&amp;ms=1900%3B32%3B%3B&amp;od=up&amp;pw=150%3A150&amp;ref=srp&amp;refId=df433d15-e51d-2823-23c7-626630c1402a&amp;s=Car&amp;sb=p&amp;searchId=df433d15-e51d-2823-23c7-626630c1402a&amp;st=DEALER&amp;tr=AUTOMATIC_GEAR&amp;vc=Car" xr:uid="{96FEAA16-CB46-4D0F-8D64-CE76B244FC9A}"/>
    <hyperlink ref="Q11" r:id="rId13" display="https://suchen.mobile.de/fahrzeuge/details.html?id=418399519&amp;ao=PICTURES&amp;c=Limousine&amp;c=SportsCar&amp;cn=DE&amp;dam=false&amp;dt=ALL_WHEEL&amp;fr=2022%3A&amp;ft=DIESEL&amp;isSearchRequest=true&amp;ml=%3A40000&amp;ms=17200%3B%3B11%3Bamg&amp;od=up&amp;ref=srp&amp;refId=4d3085ce-b6a9-29b6-5fda-2747f6316186&amp;s=Car&amp;sb=p&amp;searchId=4d3085ce-b6a9-29b6-5fda-2747f6316186&amp;st=DEALER&amp;tr=AUTOMATIC_GEAR&amp;vc=Car" xr:uid="{85E515F6-5A6A-455C-8A61-6EE56079C875}"/>
    <hyperlink ref="Q12" r:id="rId14" display="https://suchen.mobile.de/fahrzeuge/details.html?id=414268252&amp;ao=PICTURES&amp;c=Limousine&amp;c=SportsCar&amp;cn=DE&amp;dam=false&amp;dt=ALL_WHEEL&amp;fr=2022%3A&amp;ft=DIESEL&amp;isSearchRequest=true&amp;ml=%3A40000&amp;ms=17200%3B%3B11%3Bamg&amp;od=up&amp;ref=srp&amp;refId=4d3085ce-b6a9-29b6-5fda-2747f6316186&amp;s=Car&amp;sb=p&amp;searchId=4d3085ce-b6a9-29b6-5fda-2747f6316186&amp;st=DEALER&amp;tr=AUTOMATIC_GEAR&amp;vc=Car" xr:uid="{B6D5BDA8-C576-4B30-8340-374C3C660869}"/>
    <hyperlink ref="Q13" r:id="rId15" display="https://suchen.mobile.de/fahrzeuge/details.html?id=415737172&amp;ao=PICTURES&amp;c=Limousine&amp;c=SportsCar&amp;cn=DE&amp;dam=false&amp;dt=ALL_WHEEL&amp;fr=2022%3A&amp;ft=DIESEL&amp;isSearchRequest=true&amp;ml=%3A40000&amp;ms=17200%3B%3B11%3Bamg&amp;od=up&amp;pw=235%3A&amp;ref=srp&amp;refId=daff91a6-3b87-3d49-c220-c0829bf70afc&amp;s=Car&amp;sb=p&amp;searchId=daff91a6-3b87-3d49-c220-c0829bf70afc&amp;st=DEALER&amp;tr=AUTOMATIC_GEAR&amp;vc=Car" xr:uid="{16D99915-4FAC-46AD-9664-37416D577711}"/>
    <hyperlink ref="Q14" r:id="rId16" display="https://suchen.mobile.de/fahrzeuge/details.html?id=413573820&amp;ao=PICTURES&amp;c=Limousine&amp;c=SportsCar&amp;cn=DE&amp;dam=false&amp;dt=ALL_WHEEL&amp;fr=2024%3A&amp;ft=PETROL&amp;isSearchRequest=true&amp;ml=%3A40000&amp;ms=17200%3B%3B11%3Bamg&amp;od=up&amp;ref=srp&amp;refId=d0efea37-5483-d18e-db0c-a106a194de1b&amp;s=Car&amp;sb=p&amp;searchId=d0efea37-5483-d18e-db0c-a106a194de1b&amp;st=DEALER&amp;tr=AUTOMATIC_GEAR&amp;vc=Car" xr:uid="{744DECEF-A3EF-4D0B-8B05-3452E964F2B0}"/>
    <hyperlink ref="Q15" r:id="rId17" display="https://suchen.mobile.de/fahrzeuge/details.html?id=419141568&amp;ao=PICTURES&amp;cn=DE&amp;dam=false&amp;fr=2024%3A&amp;ft=DIESEL&amp;isSearchRequest=true&amp;ml=%3A40000&amp;ms=17200%3B221%3B%3B&amp;od=up&amp;pw=140%3A140&amp;ref=srp&amp;refId=e1d48d2a-23f1-2857-eee3-81526f8737ba&amp;s=Car&amp;sb=p&amp;searchId=e1d48d2a-23f1-2857-eee3-81526f8737ba&amp;st=DEALER&amp;tr=AUTOMATIC_GEAR&amp;vc=Car" xr:uid="{CC443956-1BD8-4F2E-8398-239589E0BCB2}"/>
    <hyperlink ref="Q16" r:id="rId18" display="https://suchen.mobile.de/fahrzeuge/details.html?id=422639117&amp;ao=PICTURES&amp;cn=DE&amp;dam=false&amp;fr=2022%3A&amp;ft=PETROL&amp;isSearchRequest=true&amp;ml=%3A40000&amp;ms=17200%3B%3B4%3B&amp;od=up&amp;pw=96%3A&amp;ref=srp&amp;refId=b8ecb27a-84b7-8829-3bb7-093f4f8cabd2&amp;s=Car&amp;sb=p&amp;searchId=b8ecb27a-84b7-8829-3bb7-093f4f8cabd2&amp;st=DEALER&amp;tr=AUTOMATIC_GEAR&amp;vc=Car" xr:uid="{38C2C6B3-EC11-4EA5-B72C-04A46DEC1775}"/>
    <hyperlink ref="Q17" r:id="rId19" display="https://suchen.mobile.de/fahrzeuge/details.html?id=418358987&amp;ao=PICTURES&amp;cn=DE&amp;dam=false&amp;fr=2024%3A&amp;ft=PETROL&amp;isSearchRequest=true&amp;ml=%3A40000&amp;ms=1900%3B45%3B%3Bline&amp;od=up&amp;pw=114%3A&amp;ref=srp&amp;refId=0c3c5ae3-3875-8609-c87d-68da86198d2a&amp;s=Car&amp;sb=p&amp;searchId=0c3c5ae3-3875-8609-c87d-68da86198d2a&amp;st=DEALER&amp;tr=AUTOMATIC_GEAR&amp;vc=Car" xr:uid="{348EF505-BAA9-4211-8E65-665AC4AD608C}"/>
    <hyperlink ref="Q18" r:id="rId20" display="https://suchen.mobile.de/fahrzeuge/details.html?id=422418001&amp;ao=PICTURES&amp;cn=DE&amp;dam=false&amp;fr=2024%3A&amp;ft=PETROL&amp;isSearchRequest=true&amp;ml=%3A40000&amp;ms=900%3B16%3B%3B&amp;od=up&amp;pw=206%3A206&amp;ref=srp&amp;refId=d34e9fb1-626f-6f2d-4bfd-892ccf4ee6f0&amp;s=Car&amp;sb=p&amp;searchId=d34e9fb1-626f-6f2d-4bfd-892ccf4ee6f0&amp;st=DEALER&amp;tr=AUTOMATIC_GEAR&amp;vc=Car" xr:uid="{BEF7BE55-76CD-453A-888A-6EFDB1077552}"/>
    <hyperlink ref="Q20" r:id="rId21" display="https://suchen.mobile.de/fahrzeuge/details.html?id=418964011&amp;ao=PICTURES&amp;cn=DE&amp;dam=false&amp;fr=2023%3A&amp;ft=PETROL&amp;isSearchRequest=true&amp;ml=%3A40000&amp;ms=1900%3B27%3B%3B&amp;od=up&amp;pw=331%3A331&amp;ref=srp&amp;refId=a08086a2-f0cf-2787-5cd8-99977454e60e&amp;s=Car&amp;sb=p&amp;searchId=a08086a2-f0cf-2787-5cd8-99977454e60e&amp;st=DEALER&amp;tr=AUTOMATIC_GEAR&amp;vc=Car" xr:uid="{903ACBDD-3EA7-4DB0-B6DC-296E7F1B8D93}"/>
    <hyperlink ref="Q21" r:id="rId22" display="https://suchen.mobile.de/fahrzeuge/details.html?id=420324164&amp;ao=PICTURES&amp;cn=DE&amp;dam=false&amp;fr=2024%3A&amp;ft=PETROL&amp;isSearchRequest=true&amp;ml=%3A40000&amp;ms=25200%3B54%3B%3Bele&amp;od=up&amp;pw=150%3A152&amp;ref=srp&amp;refId=8812b023-ae34-805d-0839-583cdff0088a&amp;s=Car&amp;sb=p&amp;searchId=8812b023-ae34-805d-0839-583cdff0088a&amp;st=DEALER&amp;tr=AUTOMATIC_GEAR&amp;vc=Car" xr:uid="{D69138CB-70C6-4870-BE78-522840611A0A}"/>
    <hyperlink ref="Q22" r:id="rId23" display="https://suchen.mobile.de/fahrzeuge/details.html?id=423322608&amp;ao=PICTURES&amp;c=EstateCar&amp;cn=DE&amp;dam=false&amp;fr=2023%3A&amp;ft=PETROL&amp;isSearchRequest=true&amp;ml=%3A40000&amp;ms=3500%3B118%3B%3B&amp;ms=3500%3B152%3B%3B&amp;od=up&amp;pw=275%3A275&amp;ref=srp&amp;refId=9d899a21-adf3-eea5-cd92-27cb35b2f984&amp;s=Car&amp;sb=p&amp;searchId=9d899a21-adf3-eea5-cd92-27cb35b2f984&amp;st=DEALER&amp;tr=AUTOMATIC_GEAR&amp;vc=Car" xr:uid="{FE9DBEC5-5D4E-4700-9A24-1136D45D5E7C}"/>
    <hyperlink ref="Q23" r:id="rId24" display="https://suchen.mobile.de/fahrzeuge/details.html?id=411257798&amp;ao=PICTURES&amp;c=EstateCar&amp;cn=DE&amp;dam=false&amp;fr=2023%3A&amp;ft=PETROL&amp;isSearchRequest=true&amp;ml=%3A40000&amp;ms=3500%3B118%3B%3B&amp;ms=3500%3B152%3B%3B&amp;od=up&amp;pw=275%3A275&amp;ref=srp&amp;refId=9d899a21-adf3-eea5-cd92-27cb35b2f984&amp;s=Car&amp;sb=p&amp;searchId=9d899a21-adf3-eea5-cd92-27cb35b2f984&amp;st=DEALER&amp;tr=AUTOMATIC_GEAR&amp;vc=Car" xr:uid="{84A0BA54-53BF-4A59-A9BA-30DBDA17568A}"/>
    <hyperlink ref="R2" r:id="rId25" display="https://www.autoscout24.ch/de/s/mo-ix/mk-bmw/ft-electric?firstRegistrationYearFrom=2025&amp;mileageTo=40000&amp;fuelTypeGroups%5B0=&amp;transmissionTypeGroups%5B0%5D=automatic&amp;gear=A&amp;custtype=D&amp;ocs_listing=include&amp;search_id=1scm5nxpib5&amp;hadNoAccidentOnly=true&amp;sort%5B0%5D%5Btype%5D=PRICE&amp;sort%5B0%5D%5Border%5D=ASC" xr:uid="{57C0CFEE-1308-4078-B82F-FAC421A016C4}"/>
    <hyperlink ref="R3" r:id="rId26" display="https://www.autoscout24.ch/de/s/mo-ix/mk-bmw/ft-electric?firstRegistrationYearFrom=2025&amp;mileageTo=40000&amp;fuelTypeGroups%5B0=&amp;transmissionTypeGroups%5B0%5D=automatic&amp;gear=A&amp;custtype=D&amp;ocs_listing=include&amp;search_id=1scm5nxpib5&amp;hadNoAccidentOnly=true&amp;horsePowerFrom=520&amp;sort%5B0%5D%5Btype%5D=PRICE&amp;sort%5B0%5D%5Border%5D=ASC" xr:uid="{EF9C9E75-BD23-4A34-BFB4-CE22C4DB6C8A}"/>
    <hyperlink ref="R9" r:id="rId27" display="https://www.autoscout24.ch/de/s/mg-c-class/mk-mercedes-benz/bt-saloon?firstRegistrationYearFrom=2023&amp;mileageTo=40000&amp;fuelTypeGroups%5B0=&amp;transmissionTypeGroups%5B0%5D=automatic&amp;hadNoAccidentOnly=true&amp;fuelTypes%5B0%5D=petrol&amp;fuelTypes%5B1%5D=mhev-petrol&amp;driveTypes%5B0%5D=all&amp;kiloWattsFrom=190&amp;sort%5B0%5D%5Btype%5D=PRICE&amp;sort%5B0%5D%5Border%5D=ASC" xr:uid="{DEA26FCB-0C96-4DCD-9071-5811851C44B8}"/>
    <hyperlink ref="R10" r:id="rId28" display="https://www.autoscout24.ch/de/s/mg-c-class/mk-mercedes-benz/bt-saloon?firstRegistrationYearFrom=2024&amp;mileageTo=40000&amp;fuelTypeGroups%5B0=&amp;transmissionTypeGroups%5B0%5D=automatic&amp;hadNoAccidentOnly=true&amp;fuelTypes%5B0%5D=petrol&amp;fuelTypes%5B1%5D=mhev-petrol&amp;driveTypes%5B0%5D=all&amp;kiloWattsFrom=190&amp;sort%5B0%5D%5Btype%5D=PRICE&amp;sort%5B0%5D%5Border%5D=ASC" xr:uid="{8D55B623-D45F-4A26-9E41-96A75C6E062A}"/>
    <hyperlink ref="R13" r:id="rId29" display="https://www.autoscout24.ch/de/s/mg-e-class/mk-mercedes-benz/bt-saloon?firstRegistrationYearFrom=2022&amp;mileageTo=70000&amp;fuelTypeGroups%5B0=&amp;transmissionTypeGroups%5B0%5D=automatic&amp;hadNoAccidentOnly=true&amp;fuelTypes%5B0%5D=diesel&amp;fuelTypes%5B1%5D=mhev-diesel&amp;driveTypes%5B0%5D=all&amp;kiloWattsFrom=240&amp;sort%5B0%5D%5Btype%5D=PRICE&amp;sort%5B0%5D%5Border%5D=ASC" xr:uid="{66A29BC1-48E8-4355-BBA7-282F97D732A4}"/>
    <hyperlink ref="R14" r:id="rId30" display="https://www.autoscout24.ch/de/s/mg-e-class/mk-mercedes-benz/bt-saloon?firstRegistrationYearFrom=2023&amp;mileageTo=70000&amp;fuelTypeGroups%5B0=&amp;transmissionTypeGroups%5B0%5D=automatic&amp;hadNoAccidentOnly=true&amp;fuelTypes%5B0%5D=mhev-petrol&amp;fuelTypes%5B1%5D=petrol&amp;driveTypes%5B0%5D=all&amp;sort%5B0%5D%5Btype%5D=PRICE&amp;sort%5B0%5D%5Border%5D=ASC" xr:uid="{75D667FD-FDCB-4EB8-ADB2-F628FFDDB59F}"/>
    <hyperlink ref="R15" r:id="rId31" display="https://www.autoscout24.ch/de/s/mg-a-class/mk-mercedes-benz?firstRegistrationYearFrom=2023&amp;mileageTo=40000&amp;fuelTypeGroups%5B0=&amp;transmissionTypeGroups%5B0%5D=automatic&amp;hadNoAccidentOnly=true&amp;fuelTypes%5B0%5D=diesel&amp;fuelTypes%5B1%5D=mhev-diesel&amp;horsePowerFrom=155&amp;sort%5B0%5D%5Btype%5D=PRICE&amp;sort%5B0%5D%5Border%5D=ASC" xr:uid="{770A7AC8-E427-4E8F-89A0-AB269F537540}"/>
    <hyperlink ref="R16" r:id="rId32" display="https://www.autoscout24.ch/de/s/mg-a-class/mk-mercedes-benz?firstRegistrationYearFrom=2021&amp;mileageTo=50000&amp;fuelTypeGroups%5B0=&amp;transmissionTypeGroups%5B0%5D=automatic&amp;hadNoAccidentOnly=true&amp;fuelTypes%5B0%5D=petrol&amp;fuelTypes%5B1%5D=mhev-petrol&amp;horsePowerFrom=160&amp;sort%5B0%5D%5Btype%5D=PRICE&amp;sort%5B0%5D%5Border%5D=ASC" xr:uid="{3E33C8CB-8AB6-49A9-A9AA-1258F3CA22FF}"/>
    <hyperlink ref="R17" r:id="rId33" display="https://www.autoscout24.ch/de/s/mo-q2/mk-audi/ft-petrol?firstRegistrationYearFrom=2024&amp;mileageTo=40000&amp;fuelTypeGroups%5B0=&amp;transmissionTypeGroups%5B0%5D=automatic&amp;kiloWattsFrom=112&amp;kiloWattsTo=900&amp;gear=A&amp;custtype=D&amp;ocs_listing=include&amp;search_id=kxtptosl8s&amp;hadNoAccidentOnly=true&amp;sort%5B0%5D%5Btype%5D=PRICE&amp;sort%5B0%5D%5Border%5D=ASC" xr:uid="{4D7E691B-F62D-4359-AD30-C48D7B711B58}"/>
    <hyperlink ref="R18" r:id="rId34" display="https://www.autoscout24.ch/de/s/mo-giulia/mk-alfa-romeo?firstRegistrationYearFrom=2024&amp;mileageTo=40000&amp;transmissionTypeGroups%5B0%5D=automatic&amp;fuelTypes%5B0%5D=petrol&amp;fuelTypes%5B1%5D=mhev-petrol&amp;horsePowerFrom=270&amp;sort%5B0%5D%5Btype%5D=PRICE&amp;sort%5B0%5D%5Border%5D=ASC" xr:uid="{0DDE8B5F-BD83-4ECB-9234-A4D3555E705A}"/>
    <hyperlink ref="R19" r:id="rId35" display="https://www.autoscout24.ch/de/s/mo-rs4/mk-audi/bt-estate/ft-petrol?firstRegistrationYearFrom=2023&amp;mileageTo=60000&amp;fuelTypeGroups%5B0=&amp;transmissionTypeGroups%5B0%5D=automatic&amp;kiloWattsFrom=331&amp;kiloWattsTo=1100&amp;gear=A&amp;custtype=D&amp;ocs_listing=include&amp;search_id=1qz0q42pg6&amp;hadNoAccidentOnly=true&amp;sort%5B0%5D%5Btype%5D=PRICE&amp;sort%5B0%5D%5Border%5D=ASC" xr:uid="{7A51FAED-9402-4AE3-A1A7-1D91C33C3A59}"/>
    <hyperlink ref="R20" r:id="rId36" display="https://www.autoscout24.ch/de/s/mo-rs4/mk-audi/bt-estate/ft-petrol?firstRegistrationYearFrom=2023&amp;mileageTo=60000&amp;fuelTypeGroups%5B0=&amp;transmissionTypeGroups%5B0%5D=automatic&amp;kiloWattsFrom=331&amp;kiloWattsTo=1100&amp;gear=A&amp;custtype=D&amp;ocs_listing=include&amp;search_id=1qz0q42pg6&amp;hadNoAccidentOnly=true&amp;sort%5B0%5D%5Btype%5D=PRICE&amp;sort%5B0%5D%5Border%5D=ASC" xr:uid="{DBB05CDE-3D02-4F6A-9F58-D84041508890}"/>
    <hyperlink ref="R21" r:id="rId37" display="https://www.autoscout24.ch/de/s/mo-tiguan/mk-vw?firstRegistrationYearFrom=2024&amp;mileageTo=40000&amp;fuelTypeGroups%5B0=&amp;kiloWattsFrom=140&amp;kiloWattsTo=750&amp;hadNoAccidentOnly=true&amp;fuelTypes%5B0%5D=petrol&amp;fuelTypes%5B1%5D=mhev-petrol&amp;transmissionTypeGroups%5B0%5D=automatic&amp;makeModelVersions%5B0%5D%5BversionFullName%5D=elegance&amp;sort%5B0%5D%5Btype%5D=PRICE&amp;sort%5B0%5D%5Border%5D=ASC" xr:uid="{CE8E6C54-58B6-4477-887D-AC0669537B87}"/>
    <hyperlink ref="R22" r:id="rId38" display="https://www.autoscout24.ch/de/s/mo-m340/mk-bmw/ft-mhev-petrol?firstRegistrationYearFrom=2023&amp;mileageTo=60000&amp;fuelTypeGroups%5B0=&amp;transmissionTypeGroups%5B0%5D=automatic&amp;kiloWattsFrom=275&amp;kiloWattsTo=275&amp;hadNoAccidentOnly=true&amp;bodyColors%5B0%5D=gray&amp;sort%5B0%5D%5Btype%5D=PRICE&amp;sort%5B0%5D%5Border%5D=ASC" xr:uid="{43CD7B78-60B2-4805-823F-827346F66689}"/>
    <hyperlink ref="R23" r:id="rId39" display="https://www.autoscout24.ch/de/s/mo-m340/mk-bmw/ft-mhev-petrol?firstRegistrationYearFrom=2023&amp;mileageTo=60000&amp;fuelTypeGroups%5B0=&amp;transmissionTypeGroups%5B0%5D=automatic&amp;kiloWattsFrom=275&amp;kiloWattsTo=275&amp;hadNoAccidentOnly=true&amp;bodyColors%5B0%5D=blue&amp;sort%5B0%5D%5Btype%5D=PRICE&amp;sort%5B0%5D%5Border%5D=ASC" xr:uid="{A4D7DB15-2411-43D6-AA9F-28F8D88B9085}"/>
    <hyperlink ref="Q10" r:id="rId40" display="https://suchen.mobile.de/fahrzeuge/details.html?id=419937879&amp;ao=PICTURES&amp;c=Limousine&amp;cn=DE&amp;dam=false&amp;dt=ALL_WHEEL&amp;fr=2024%3A&amp;ft=PETROL&amp;isSearchRequest=true&amp;ml=%3A40000&amp;ms=17200%3B%3B6%3B&amp;od=up&amp;pw=184%3A&amp;ref=srp&amp;refId=b7fb9df4-4882-815e-2dc0-4b18322e35c6&amp;s=Car&amp;sb=p&amp;searchId=b7fb9df4-4882-815e-2dc0-4b18322e35c6&amp;st=DEALER&amp;tr=AUTOMATIC_GEAR&amp;vc=Car" xr:uid="{509A1B81-D9CC-4F9D-8B3F-8F42212D8222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SWE</vt:lpstr>
      <vt:lpstr>GER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Jura</dc:creator>
  <cp:lastModifiedBy>Štěpán Karásek Mgr.</cp:lastModifiedBy>
  <dcterms:created xsi:type="dcterms:W3CDTF">2023-01-09T15:29:06Z</dcterms:created>
  <dcterms:modified xsi:type="dcterms:W3CDTF">2025-04-24T13:16:10Z</dcterms:modified>
</cp:coreProperties>
</file>