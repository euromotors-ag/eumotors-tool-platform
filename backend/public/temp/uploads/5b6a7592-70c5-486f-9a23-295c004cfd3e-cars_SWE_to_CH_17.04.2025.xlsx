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3f58e0660499acb/CARS práce/Customer - Car Trade24/"/>
    </mc:Choice>
  </mc:AlternateContent>
  <xr:revisionPtr revIDLastSave="240" documentId="8_{2498D186-FB6C-4EEE-B421-6266E598B1DD}" xr6:coauthVersionLast="47" xr6:coauthVersionMax="47" xr10:uidLastSave="{5222A8A2-9DB1-4C12-8C81-8A3ED19E51FB}"/>
  <bookViews>
    <workbookView xWindow="-25005" yWindow="2610" windowWidth="21600" windowHeight="11295" xr2:uid="{D099003E-6DC0-415D-9798-8B4DDD4DCD62}"/>
  </bookViews>
  <sheets>
    <sheet name="SWE" sheetId="3" r:id="rId1"/>
    <sheet name="GER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3" l="1"/>
  <c r="V3" i="3" s="1"/>
  <c r="W3" i="3" s="1"/>
  <c r="X3" i="3" s="1"/>
  <c r="Y3" i="3" s="1"/>
  <c r="U4" i="3"/>
  <c r="V4" i="3" s="1"/>
  <c r="W4" i="3" s="1"/>
  <c r="X4" i="3" s="1"/>
  <c r="Y4" i="3" s="1"/>
  <c r="U5" i="3"/>
  <c r="V5" i="3" s="1"/>
  <c r="W5" i="3" s="1"/>
  <c r="X5" i="3" s="1"/>
  <c r="Y5" i="3" s="1"/>
  <c r="U2" i="4" l="1"/>
  <c r="U2" i="3"/>
  <c r="V2" i="3" s="1"/>
  <c r="W2" i="3" s="1"/>
  <c r="X2" i="3" s="1"/>
  <c r="Y2" i="3" s="1"/>
  <c r="Z3" i="3" l="1"/>
  <c r="Z4" i="3"/>
  <c r="Z5" i="3"/>
  <c r="V2" i="4"/>
  <c r="W2" i="4" s="1"/>
  <c r="X2" i="4" s="1"/>
  <c r="U3" i="4"/>
  <c r="V3" i="4" s="1"/>
  <c r="W3" i="4" s="1"/>
  <c r="X3" i="4" s="1"/>
  <c r="U4" i="4"/>
  <c r="V4" i="4"/>
  <c r="W4" i="4" s="1"/>
  <c r="X4" i="4" s="1"/>
  <c r="Y4" i="4" s="1"/>
  <c r="AB4" i="4" s="1"/>
  <c r="U5" i="4"/>
  <c r="V5" i="4" s="1"/>
  <c r="W5" i="4" s="1"/>
  <c r="X5" i="4" s="1"/>
  <c r="Y5" i="4" s="1"/>
  <c r="U6" i="4"/>
  <c r="V6" i="4" s="1"/>
  <c r="W6" i="4" s="1"/>
  <c r="X6" i="4" s="1"/>
  <c r="Y6" i="4" s="1"/>
  <c r="U7" i="4"/>
  <c r="V7" i="4" s="1"/>
  <c r="W7" i="4" s="1"/>
  <c r="X7" i="4" s="1"/>
  <c r="Y7" i="4" s="1"/>
  <c r="U8" i="4"/>
  <c r="V8" i="4" s="1"/>
  <c r="W8" i="4"/>
  <c r="X8" i="4" s="1"/>
  <c r="Y8" i="4" s="1"/>
  <c r="Z5" i="4" l="1"/>
  <c r="AB5" i="4"/>
  <c r="AC5" i="4" s="1"/>
  <c r="AA6" i="4"/>
  <c r="AF6" i="4" s="1"/>
  <c r="AB6" i="4"/>
  <c r="AC6" i="4" s="1"/>
  <c r="AD7" i="4"/>
  <c r="AE7" i="4" s="1"/>
  <c r="AB7" i="4"/>
  <c r="AC7" i="4" s="1"/>
  <c r="AA8" i="4"/>
  <c r="AF8" i="4" s="1"/>
  <c r="AB8" i="4"/>
  <c r="AC8" i="4" s="1"/>
  <c r="AF4" i="3"/>
  <c r="AF4" i="4"/>
  <c r="AD8" i="4"/>
  <c r="AG8" i="4" s="1"/>
  <c r="AD5" i="4"/>
  <c r="AG5" i="4" s="1"/>
  <c r="AD4" i="4"/>
  <c r="AG4" i="4" s="1"/>
  <c r="AD5" i="3"/>
  <c r="AG5" i="3" s="1"/>
  <c r="AD3" i="3"/>
  <c r="AG3" i="3" s="1"/>
  <c r="AB3" i="3"/>
  <c r="AC3" i="3" s="1"/>
  <c r="AB5" i="3"/>
  <c r="AC5" i="3" s="1"/>
  <c r="AB4" i="3"/>
  <c r="AC4" i="3" s="1"/>
  <c r="AD4" i="3"/>
  <c r="AD6" i="4"/>
  <c r="AG6" i="4" s="1"/>
  <c r="AC4" i="4"/>
  <c r="Y2" i="4"/>
  <c r="AB2" i="4" s="1"/>
  <c r="AA5" i="4"/>
  <c r="AF5" i="4" s="1"/>
  <c r="AA3" i="3"/>
  <c r="AF3" i="3" s="1"/>
  <c r="Z8" i="4"/>
  <c r="AA7" i="4"/>
  <c r="AF7" i="4" s="1"/>
  <c r="Z6" i="4"/>
  <c r="Y3" i="4"/>
  <c r="AA5" i="3"/>
  <c r="AF5" i="3" s="1"/>
  <c r="AA4" i="3"/>
  <c r="Z7" i="4"/>
  <c r="AA4" i="4"/>
  <c r="Z4" i="4"/>
  <c r="AG7" i="4" l="1"/>
  <c r="Z3" i="4"/>
  <c r="AB3" i="4"/>
  <c r="AC3" i="4" s="1"/>
  <c r="AE4" i="3"/>
  <c r="AG4" i="3"/>
  <c r="AE3" i="3"/>
  <c r="AE5" i="3"/>
  <c r="AE4" i="4"/>
  <c r="AE5" i="4"/>
  <c r="AE6" i="4"/>
  <c r="AE8" i="4"/>
  <c r="AD2" i="3"/>
  <c r="AG2" i="3" s="1"/>
  <c r="AB2" i="3"/>
  <c r="AC2" i="3" s="1"/>
  <c r="AD3" i="4"/>
  <c r="AG3" i="4" s="1"/>
  <c r="AD2" i="4"/>
  <c r="AG2" i="4" s="1"/>
  <c r="AC2" i="4"/>
  <c r="Z2" i="4"/>
  <c r="AA2" i="4"/>
  <c r="AF2" i="4" s="1"/>
  <c r="AA3" i="4"/>
  <c r="AF3" i="4" s="1"/>
  <c r="AA2" i="3"/>
  <c r="AF2" i="3" s="1"/>
  <c r="Z2" i="3"/>
  <c r="AE2" i="3" l="1"/>
  <c r="AE2" i="4"/>
  <c r="AE3" i="4"/>
</calcChain>
</file>

<file path=xl/sharedStrings.xml><?xml version="1.0" encoding="utf-8"?>
<sst xmlns="http://schemas.openxmlformats.org/spreadsheetml/2006/main" count="213" uniqueCount="104">
  <si>
    <t>Feedback</t>
  </si>
  <si>
    <t>Source Country</t>
  </si>
  <si>
    <t>Target Country</t>
  </si>
  <si>
    <t>Datum</t>
  </si>
  <si>
    <t>No.</t>
  </si>
  <si>
    <t>Brand</t>
  </si>
  <si>
    <t>Model</t>
  </si>
  <si>
    <t>Engine</t>
  </si>
  <si>
    <t>Drive</t>
  </si>
  <si>
    <t>Fuel type</t>
  </si>
  <si>
    <t>milage</t>
  </si>
  <si>
    <t>Purchase price kr</t>
  </si>
  <si>
    <t>Purchase price €</t>
  </si>
  <si>
    <t>Colour</t>
  </si>
  <si>
    <t>SWE Link</t>
  </si>
  <si>
    <t>Purchase status</t>
  </si>
  <si>
    <t>Model Year</t>
  </si>
  <si>
    <t>No. of cars target country</t>
  </si>
  <si>
    <t>Germany</t>
  </si>
  <si>
    <t>VIN_No.</t>
  </si>
  <si>
    <t>Currency rate kr - CHF</t>
  </si>
  <si>
    <t>GER ex vat  + 8.1 % CHF</t>
  </si>
  <si>
    <t>car tax GER</t>
  </si>
  <si>
    <t>GER ex vat + 4.0 % Tax CHF</t>
  </si>
  <si>
    <t>Tansport costs GER</t>
  </si>
  <si>
    <t>Electro/PlugIn GER</t>
  </si>
  <si>
    <t>Prüfung GER</t>
  </si>
  <si>
    <t>Lowest price target country CHF</t>
  </si>
  <si>
    <t>TC abs profit after all costs</t>
  </si>
  <si>
    <t>TC rel profit after all costs</t>
  </si>
  <si>
    <t>Switzerland</t>
  </si>
  <si>
    <t>Target Country Link</t>
  </si>
  <si>
    <t>SWE ex vat kr</t>
  </si>
  <si>
    <t>SWE ex vat CHF</t>
  </si>
  <si>
    <t>SWE ex vat  + 8.1 % CHF</t>
  </si>
  <si>
    <t>SWE ex vat + 4.0 % Tax CHF</t>
  </si>
  <si>
    <t>Tansport costs SWE</t>
  </si>
  <si>
    <t>Electro/PlugIn SWE</t>
  </si>
  <si>
    <t>Prüfung SWE</t>
  </si>
  <si>
    <t>car tax SWE</t>
  </si>
  <si>
    <t>Sweden</t>
  </si>
  <si>
    <t>First Registration</t>
  </si>
  <si>
    <t>GER Link</t>
  </si>
  <si>
    <t>GER ex vat €</t>
  </si>
  <si>
    <t>GER ex vat CHF</t>
  </si>
  <si>
    <t>Currency rate € - CH</t>
  </si>
  <si>
    <t>Final buying price</t>
  </si>
  <si>
    <t>Benzin</t>
  </si>
  <si>
    <t>% B2C Profit</t>
  </si>
  <si>
    <t>% B2B Profit</t>
  </si>
  <si>
    <t>Selling Price B2C</t>
  </si>
  <si>
    <t>Final Profit B2C</t>
  </si>
  <si>
    <t>Selling Price B2B</t>
  </si>
  <si>
    <t>Final Profit B2B</t>
  </si>
  <si>
    <t>Margin left for B2B</t>
  </si>
  <si>
    <t>Profit FOR B2B Dealer CHF</t>
  </si>
  <si>
    <t>https://www.blocket.se/annons/1002463620</t>
  </si>
  <si>
    <t>Black</t>
  </si>
  <si>
    <t>Automatic</t>
  </si>
  <si>
    <t>Diesel</t>
  </si>
  <si>
    <t>204 Ps</t>
  </si>
  <si>
    <t>Audi</t>
  </si>
  <si>
    <t>Audi Q5 40 TDI quattro S line 204 hk S tronic</t>
  </si>
  <si>
    <t>NTJ32Z</t>
  </si>
  <si>
    <t>https://www.autoscout24.ch/de/s/mo-q5/mk-audi?firstRegistrationYearFrom=2024&amp;mileageTo=40000&amp;fuelTypeGroups%5B0=&amp;transmissionTypeGroups%5B0%5D=automatic&amp;kiloWattsFrom=150&amp;kiloWattsTo=600&amp;gear=A&amp;custtype=D&amp;ocs_listing=include&amp;size=20&amp;fc=40&amp;recommended_sorting_based_id=513bc40d-5456-4337-acec-442b28cf4d86&amp;search_id=yat2p898x6&amp;hadNoAccidentOnly=true&amp;fuelTypes%5B0%5D=diesel&amp;fuelTypes%5B1%5D=mhev-diesel&amp;sort%5B0%5D%5Btype%5D=PRICE&amp;sort%5B0%5D%5Border%5D=ASC</t>
  </si>
  <si>
    <t>https://www.blocket.se/annons/1002465071</t>
  </si>
  <si>
    <t>White</t>
  </si>
  <si>
    <t>204 PS</t>
  </si>
  <si>
    <t>Q5 40 TDI quattro 204 S.tronic / S-Line /svart optik + AHK + 360</t>
  </si>
  <si>
    <t>SMJ04Y</t>
  </si>
  <si>
    <t>https://www.blocket.se/bilar/sok?filter=%7B%22key%22%3A%22price%22%2C%22range%22%3A%7B%22start%22%3A%2230000%22%2C%22end%22%3A%22%22%7D%7D&amp;filter=%7B%22key%22%3A%22modelYear%22%2C%22range%22%3A%7B%22start%22%3A%222024%22%2C%22end%22%3A%22%22%7D%7D&amp;filter=%7B%22key%22%3A%22milage%22%2C%22range%22%3A%7B%22start%22%3A%22%22%2C%22end%22%3A%224000%22%7D%7D&amp;filter=%7B%22key%22%3A%22fuel%22%2C%22values%22%3A%5B%22Diesel%22%5D%7D&amp;filter=%7B%22key%22%3A%22sellerType%22%2C%22values%22%3A%5B%22F%C3%B6retag%22%5D%7D&amp;filter=%7B%22key%22%3A%22gearbox%22%2C%22values%22%3A%5B%22Automat%22%5D%7D&amp;filter=%7B%22key%22%3A%22ownershipType%22%2C%22values%22%3A%5B%22K%C3%B6pa%22%5D%7D&amp;filter=%7B%22key%22%3A%22engineEffect%22%2C%22range%22%3A%7B%22start%22%3A%22201%22%2C%22end%22%3A%22207%22%7D%7D&amp;filter=%7B%22key%22%3A%22models%22%2C%22values%22%3A%5B%22Q5%22%5D%7D&amp;sortOrder=Billigast&amp;q=Q5</t>
  </si>
  <si>
    <t>https://suchen.mobile.de/fahrzeuge/details.html?id=417705244&amp;ao=PICTURES&amp;cn=DE&amp;dam=false&amp;fr=2024%3A&amp;ft=DIESEL&amp;isSearchRequest=true&amp;ml=%3A40000&amp;ms=1900%3B32%3B%3Bs+line&amp;od=up&amp;pageNumber=2&amp;pw=150%3A150&amp;ref=srp&amp;refId=0219bb82-137d-587c-8a65-bf2f5deb3a95&amp;s=Car&amp;sb=p&amp;searchId=0219bb82-137d-587c-8a65-bf2f5deb3a95&amp;st=DEALER&amp;tr=AUTOMATIC_GEAR&amp;vc=Car</t>
  </si>
  <si>
    <t>Q5 Sportback 40 TDI Q S LINE PANO AHK MEMORY KAM</t>
  </si>
  <si>
    <t>https://suchen.mobile.de/fahrzeuge/details.html?id=416581189&amp;ao=PICTURES&amp;cn=DE&amp;dam=false&amp;fr=2024%3A&amp;ft=DIESEL&amp;isSearchRequest=true&amp;ml=%3A40000&amp;ms=1900%3B32%3B%3Bs+line&amp;od=up&amp;pageNumber=3&amp;pw=150%3A150&amp;ref=srp&amp;refId=fe696e4c-898b-57fa-33cf-1819185cd84c&amp;s=Car&amp;sb=p&amp;searchId=fe696e4c-898b-57fa-33cf-1819185cd84c&amp;st=DEALER&amp;tr=AUTOMATIC_GEAR&amp;vc=Car</t>
  </si>
  <si>
    <t>Gray</t>
  </si>
  <si>
    <t>Q5 Sportback 40 TDI quattro S line Panorama AHZV</t>
  </si>
  <si>
    <t>https://suchen.mobile.de/fahrzeuge/search.html?ao=PICTURES&amp;cn=DE&amp;dam=false&amp;fr=2024%3A&amp;ft=DIESEL&amp;isSearchRequest=true&amp;ml=%3A40000&amp;ms=1900%3B32%3B%3Bs+line&amp;od=up&amp;pageNumber=3&amp;pw=150%3A150&amp;ref=srpNextPage&amp;refId=0219bb82-137d-587c-8a65-bf2f5deb3a95&amp;s=Car&amp;sb=p&amp;st=DEALER&amp;tr=AUTOMATIC_GEAR&amp;vc=Car</t>
  </si>
  <si>
    <t>https://suchen.mobile.de/fahrzeuge/details.html?id=412814707&amp;ao=PICTURES&amp;cn=DE&amp;dam=false&amp;ecol=SILVER&amp;fr=2024%3A&amp;ft=DIESEL&amp;isSearchRequest=true&amp;ml=%3A40000&amp;ms=1900%3B32%3B%3Bs+line&amp;od=up&amp;pw=150%3A150&amp;ref=srp&amp;refId=88c1f9de-b8a0-99b1-7711-03e49a193f27&amp;s=Car&amp;sb=p&amp;searchId=88c1f9de-b8a0-99b1-7711-03e49a193f27&amp;st=DEALER&amp;tr=AUTOMATIC_GEAR&amp;vc=Car</t>
  </si>
  <si>
    <t>Silver</t>
  </si>
  <si>
    <t>Q5 40 TDI quattro S line Navi Sound Kamera LED</t>
  </si>
  <si>
    <t>https://suchen.mobile.de/fahrzeuge/search.html?ao=PICTURES&amp;cn=DE&amp;dam=false&amp;fr=2023%3A&amp;ft=PETROL&amp;isSearchRequest=true&amp;ml=%3A40000&amp;ms=22900%3B21%3B%3B&amp;od=up&amp;pw=110%3A110&amp;ref=srp&amp;refId=e46d35cb-26dc-ca5a-9519-47d633b590e0&amp;s=Car&amp;sb=p&amp;st=DEALER&amp;tr=AUTOMATIC_GEAR&amp;vc=Car</t>
  </si>
  <si>
    <t>https://suchen.mobile.de/fahrzeuge/details.html?id=422108850&amp;action=eyeCatcher&amp;ao=PICTURES&amp;cn=DE&amp;dam=false&amp;fr=2023%3A&amp;ft=PETROL&amp;isSearchRequest=true&amp;ml=%3A40000&amp;ms=22900%3B21%3B%3B&amp;od=up&amp;pw=110%3A110&amp;ref=srp&amp;refId=cca966fd-5e22-0a52-a8bc-f99a564508fb&amp;s=Car&amp;sb=p&amp;searchId=cca966fd-5e22-0a52-a8bc-f99a564508fb&amp;st=DEALER&amp;tr=AUTOMATIC_GEAR&amp;vc=Car</t>
  </si>
  <si>
    <t>Skoda</t>
  </si>
  <si>
    <t>Scala 1.5 TSI DSG Style Pano|LED|virt.Cock.</t>
  </si>
  <si>
    <t>150 PS</t>
  </si>
  <si>
    <t>https://suchen.mobile.de/fahrzeuge/details.html?id=419115468&amp;ao=PICTURES&amp;cn=DE&amp;dam=false&amp;fr=2023%3A&amp;ft=PETROL&amp;isSearchRequest=true&amp;ml=%3A40000&amp;ms=22900%3B21%3B%3B&amp;od=up&amp;pw=110%3A110&amp;ref=srp&amp;refId=cca966fd-5e22-0a52-a8bc-f99a564508fb&amp;s=Car&amp;sb=p&amp;searchId=cca966fd-5e22-0a52-a8bc-f99a564508fb&amp;st=DEALER&amp;tr=AUTOMATIC_GEAR&amp;vc=Car</t>
  </si>
  <si>
    <t>Scala 1.5 TSI DSG Style Pano|LED-Sch.|virt.Cock.</t>
  </si>
  <si>
    <t>https://www.autoscout24.ch/de/s/mo-scala/mk-skoda?firstRegistrationYearFrom=2023&amp;mileageTo=80000&amp;fuelTypeGroups%5B0=&amp;transmissionTypeGroups%5B0%5D=automatic&amp;kiloWattsFrom=110&amp;kiloWattsTo=450&amp;hadNoAccidentOnly=true&amp;fuelTypes%5B0%5D=petrol&amp;fuelTypes%5B1%5D=mhev-petrol&amp;sort%5B0%5D%5Btype%5D=PRICE&amp;sort%5B0%5D%5Border%5D=ASC</t>
  </si>
  <si>
    <t>https://suchen.mobile.de/fahrzeuge/details.html?id=420544410&amp;ao=PICTURES&amp;cn=DE&amp;dam=false&amp;fe=PANORAMIC_GLASS_ROOF&amp;fr=2023%3A&amp;ft=PETROL&amp;isSearchRequest=true&amp;ml=%3A40000&amp;ms=22900%3B21%3B%3B&amp;od=up&amp;pw=110%3A110&amp;ref=srp&amp;refId=beeb225b-bb7d-013e-8c05-93a7da950619&amp;s=Car&amp;sb=p&amp;searchId=beeb225b-bb7d-013e-8c05-93a7da950619&amp;st=DEALER&amp;tr=AUTOMATIC_GEAR&amp;vc=Car</t>
  </si>
  <si>
    <t>Scala 1.5 TSI DSG Style LED|virt.Cock.|Pano|SHZ</t>
  </si>
  <si>
    <t>https://suchen.mobile.de/fahrzeuge/details.html?id=421365196&amp;ao=PICTURES&amp;cn=DE&amp;dam=false&amp;fe=PANORAMIC_GLASS_ROOF&amp;fr=2023%3A&amp;ft=PETROL&amp;isSearchRequest=true&amp;ml=%3A40000&amp;ms=22900%3B21%3B%3B&amp;od=up&amp;pw=110%3A110&amp;ref=srp&amp;refId=beeb225b-bb7d-013e-8c05-93a7da950619&amp;s=Car&amp;sb=p&amp;searchId=beeb225b-bb7d-013e-8c05-93a7da950619&amp;st=DEALER&amp;tr=AUTOMATIC_GEAR&amp;vc=Car</t>
  </si>
  <si>
    <t>https://www.blocket.se/annons/1002519724</t>
  </si>
  <si>
    <t>Bensin</t>
  </si>
  <si>
    <t>530 PS</t>
  </si>
  <si>
    <t>BMW</t>
  </si>
  <si>
    <t> X7 M60i pano 7 sitz - brown</t>
  </si>
  <si>
    <t>https://www.blocket.se/annons/1002083025</t>
  </si>
  <si>
    <t>Blue</t>
  </si>
  <si>
    <t>X7 M60i MOMS Exklusiv B&amp;W 23" Pano Driving Ass Pro</t>
  </si>
  <si>
    <t>https://www.autoscout24.ch/de/s/mo-x7/mk-bmw?firstRegistrationYearFrom=2023&amp;mileageTo=40000&amp;fuelTypeGroups%5B0=&amp;transmissionTypeGroups%5B0%5D=automatic&amp;kiloWattsFrom=390&amp;kiloWattsTo=390&amp;hadNoAccidentOnly=true&amp;fuelTypes%5B0%5D=mhev-petrol&amp;fuelTypes%5B1%5D=petrol&amp;sort%5B0%5D%5Btype%5D=PRICE&amp;sort%5B0%5D%5Border%5D=ASC</t>
  </si>
  <si>
    <t>Online: 22900</t>
  </si>
  <si>
    <t>Online: 126900</t>
  </si>
  <si>
    <t>Online: 132900</t>
  </si>
  <si>
    <t>Online: 53900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</si>
</sst>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563C1"/>
      <name val="Calibri"/>
      <family val="2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7E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4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center" vertical="center"/>
    </xf>
    <xf numFmtId="0" fontId="0" fillId="5" borderId="0" xfId="0" applyFill="1"/>
    <xf numFmtId="0" fontId="0" fillId="5" borderId="1" xfId="0" applyFill="1" applyBorder="1"/>
    <xf numFmtId="0" fontId="0" fillId="6" borderId="1" xfId="0" applyFill="1" applyBorder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1" fontId="0" fillId="8" borderId="1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14" fontId="4" fillId="5" borderId="1" xfId="0" applyNumberFormat="1" applyFont="1" applyFill="1" applyBorder="1" applyAlignment="1">
      <alignment horizontal="center"/>
    </xf>
    <xf numFmtId="0" fontId="0" fillId="5" borderId="0" xfId="0" applyFill="1" applyAlignment="1">
      <alignment horizontal="left"/>
    </xf>
    <xf numFmtId="0" fontId="0" fillId="10" borderId="1" xfId="0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9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5" fillId="11" borderId="2" xfId="0" applyFont="1" applyFill="1" applyBorder="1" applyAlignment="1">
      <alignment horizontal="center"/>
    </xf>
    <xf numFmtId="0" fontId="6" fillId="11" borderId="2" xfId="0" applyFont="1" applyFill="1" applyBorder="1"/>
    <xf numFmtId="1" fontId="5" fillId="11" borderId="2" xfId="0" applyNumberFormat="1" applyFont="1" applyFill="1" applyBorder="1" applyAlignment="1">
      <alignment horizontal="center"/>
    </xf>
    <xf numFmtId="164" fontId="0" fillId="5" borderId="0" xfId="0" applyNumberFormat="1" applyFill="1" applyAlignment="1">
      <alignment horizontal="center"/>
    </xf>
    <xf numFmtId="2" fontId="0" fillId="6" borderId="1" xfId="0" applyNumberFormat="1" applyFill="1" applyBorder="1" applyAlignment="1">
      <alignment horizontal="center"/>
    </xf>
    <xf numFmtId="10" fontId="0" fillId="12" borderId="1" xfId="0" applyNumberFormat="1" applyFill="1" applyBorder="1" applyAlignment="1">
      <alignment horizontal="center"/>
    </xf>
    <xf numFmtId="10" fontId="0" fillId="6" borderId="1" xfId="0" applyNumberFormat="1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14" fontId="3" fillId="5" borderId="1" xfId="0" applyNumberFormat="1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14" fontId="3" fillId="13" borderId="1" xfId="0" applyNumberFormat="1" applyFont="1" applyFill="1" applyBorder="1" applyAlignment="1">
      <alignment horizontal="center"/>
    </xf>
    <xf numFmtId="0" fontId="1" fillId="11" borderId="2" xfId="1" applyFill="1" applyBorder="1"/>
    <xf numFmtId="0" fontId="1" fillId="7" borderId="1" xfId="1" applyFill="1" applyBorder="1"/>
  </cellXfs>
  <cellStyles count="2">
    <cellStyle name="Hypertextový odkaz" xfId="1" builtinId="8"/>
    <cellStyle name="Normální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utoscout24.ch/de/s/mo-q5/mk-audi?firstRegistrationYearFrom=2024&amp;mileageTo=40000&amp;fuelTypeGroups%5B0=&amp;transmissionTypeGroups%5B0%5D=automatic&amp;kiloWattsFrom=150&amp;kiloWattsTo=600&amp;gear=A&amp;custtype=D&amp;ocs_listing=include&amp;size=20&amp;fc=40&amp;recommended_sorting_based_id=513bc40d-5456-4337-acec-442b28cf4d86&amp;search_id=yat2p898x6&amp;hadNoAccidentOnly=true&amp;fuelTypes%5B0%5D=diesel&amp;fuelTypes%5B1%5D=mhev-diesel&amp;sort%5B0%5D%5Btype%5D=PRICE&amp;sort%5B0%5D%5Border%5D=ASC" TargetMode="External"/><Relationship Id="rId7" Type="http://schemas.openxmlformats.org/officeDocument/2006/relationships/hyperlink" Target="https://suchen.mobile.de/fahrzeuge/details.html?id=420544410&amp;ao=PICTURES&amp;cn=DE&amp;dam=false&amp;fe=PANORAMIC_GLASS_ROOF&amp;fr=2023%3A&amp;ft=PETROL&amp;isSearchRequest=true&amp;ml=%3A40000&amp;ms=22900%3B21%3B%3B&amp;od=up&amp;pw=110%3A110&amp;ref=srp&amp;refId=beeb225b-bb7d-013e-8c05-93a7da950619&amp;s=Car&amp;sb=p&amp;searchId=beeb225b-bb7d-013e-8c05-93a7da950619&amp;st=DEALER&amp;tr=AUTOMATIC_GEAR&amp;vc=Car" TargetMode="External"/><Relationship Id="rId2" Type="http://schemas.openxmlformats.org/officeDocument/2006/relationships/hyperlink" Target="https://www.blocket.se/annons/1002463620" TargetMode="External"/><Relationship Id="rId1" Type="http://schemas.openxmlformats.org/officeDocument/2006/relationships/hyperlink" Target="https://www.blocket.se/annons/1002465071" TargetMode="External"/><Relationship Id="rId6" Type="http://schemas.openxmlformats.org/officeDocument/2006/relationships/hyperlink" Target="https://www.autoscout24.ch/de/s/mo-x7/mk-bmw?firstRegistrationYearFrom=2023&amp;mileageTo=40000&amp;fuelTypeGroups%5B0=&amp;transmissionTypeGroups%5B0%5D=automatic&amp;kiloWattsFrom=390&amp;kiloWattsTo=390&amp;hadNoAccidentOnly=true&amp;fuelTypes%5B0%5D=mhev-petrol&amp;fuelTypes%5B1%5D=petrol&amp;sort%5B0%5D%5Btype%5D=PRICE&amp;sort%5B0%5D%5Border%5D=ASC" TargetMode="External"/><Relationship Id="rId5" Type="http://schemas.openxmlformats.org/officeDocument/2006/relationships/hyperlink" Target="https://www.blocket.se/annons/1002083025" TargetMode="External"/><Relationship Id="rId4" Type="http://schemas.openxmlformats.org/officeDocument/2006/relationships/hyperlink" Target="https://www.blocket.se/annons/1002519724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uchen.mobile.de/fahrzeuge/search.html?ao=PICTURES&amp;cn=DE&amp;dam=false&amp;fr=2023%3A&amp;ft=PETROL&amp;isSearchRequest=true&amp;ml=%3A40000&amp;ms=22900%3B21%3B%3B&amp;od=up&amp;pw=110%3A110&amp;ref=srp&amp;refId=e46d35cb-26dc-ca5a-9519-47d633b590e0&amp;s=Car&amp;sb=p&amp;st=DEALER&amp;tr=AUTOMATIC_GEAR&amp;vc=Car" TargetMode="External"/><Relationship Id="rId3" Type="http://schemas.openxmlformats.org/officeDocument/2006/relationships/hyperlink" Target="https://suchen.mobile.de/fahrzeuge/details.html?id=412814707&amp;ao=PICTURES&amp;cn=DE&amp;dam=false&amp;ecol=SILVER&amp;fr=2024%3A&amp;ft=DIESEL&amp;isSearchRequest=true&amp;ml=%3A40000&amp;ms=1900%3B32%3B%3Bs+line&amp;od=up&amp;pw=150%3A150&amp;ref=srp&amp;refId=88c1f9de-b8a0-99b1-7711-03e49a193f27&amp;s=Car&amp;sb=p&amp;searchId=88c1f9de-b8a0-99b1-7711-03e49a193f27&amp;st=DEALER&amp;tr=AUTOMATIC_GEAR&amp;vc=Car" TargetMode="External"/><Relationship Id="rId7" Type="http://schemas.openxmlformats.org/officeDocument/2006/relationships/hyperlink" Target="https://suchen.mobile.de/fahrzeuge/details.html?id=421365196&amp;ao=PICTURES&amp;cn=DE&amp;dam=false&amp;fe=PANORAMIC_GLASS_ROOF&amp;fr=2023%3A&amp;ft=PETROL&amp;isSearchRequest=true&amp;ml=%3A40000&amp;ms=22900%3B21%3B%3B&amp;od=up&amp;pw=110%3A110&amp;ref=srp&amp;refId=beeb225b-bb7d-013e-8c05-93a7da950619&amp;s=Car&amp;sb=p&amp;searchId=beeb225b-bb7d-013e-8c05-93a7da950619&amp;st=DEALER&amp;tr=AUTOMATIC_GEAR&amp;vc=Car" TargetMode="External"/><Relationship Id="rId2" Type="http://schemas.openxmlformats.org/officeDocument/2006/relationships/hyperlink" Target="https://suchen.mobile.de/fahrzeuge/details.html?id=416581189&amp;ao=PICTURES&amp;cn=DE&amp;dam=false&amp;fr=2024%3A&amp;ft=DIESEL&amp;isSearchRequest=true&amp;ml=%3A40000&amp;ms=1900%3B32%3B%3Bs+line&amp;od=up&amp;pageNumber=3&amp;pw=150%3A150&amp;ref=srp&amp;refId=fe696e4c-898b-57fa-33cf-1819185cd84c&amp;s=Car&amp;sb=p&amp;searchId=fe696e4c-898b-57fa-33cf-1819185cd84c&amp;st=DEALER&amp;tr=AUTOMATIC_GEAR&amp;vc=Car" TargetMode="External"/><Relationship Id="rId1" Type="http://schemas.openxmlformats.org/officeDocument/2006/relationships/hyperlink" Target="https://suchen.mobile.de/fahrzeuge/details.html?id=417705244&amp;ao=PICTURES&amp;cn=DE&amp;dam=false&amp;fr=2024%3A&amp;ft=DIESEL&amp;isSearchRequest=true&amp;ml=%3A40000&amp;ms=1900%3B32%3B%3Bs+line&amp;od=up&amp;pageNumber=2&amp;pw=150%3A150&amp;ref=srp&amp;refId=0219bb82-137d-587c-8a65-bf2f5deb3a95&amp;s=Car&amp;sb=p&amp;searchId=0219bb82-137d-587c-8a65-bf2f5deb3a95&amp;st=DEALER&amp;tr=AUTOMATIC_GEAR&amp;vc=Car" TargetMode="External"/><Relationship Id="rId6" Type="http://schemas.openxmlformats.org/officeDocument/2006/relationships/hyperlink" Target="https://suchen.mobile.de/fahrzeuge/details.html?id=420544410&amp;ao=PICTURES&amp;cn=DE&amp;dam=false&amp;fe=PANORAMIC_GLASS_ROOF&amp;fr=2023%3A&amp;ft=PETROL&amp;isSearchRequest=true&amp;ml=%3A40000&amp;ms=22900%3B21%3B%3B&amp;od=up&amp;pw=110%3A110&amp;ref=srp&amp;refId=beeb225b-bb7d-013e-8c05-93a7da950619&amp;s=Car&amp;sb=p&amp;searchId=beeb225b-bb7d-013e-8c05-93a7da950619&amp;st=DEALER&amp;tr=AUTOMATIC_GEAR&amp;vc=Car" TargetMode="External"/><Relationship Id="rId5" Type="http://schemas.openxmlformats.org/officeDocument/2006/relationships/hyperlink" Target="https://suchen.mobile.de/fahrzeuge/details.html?id=419115468&amp;ao=PICTURES&amp;cn=DE&amp;dam=false&amp;fr=2023%3A&amp;ft=PETROL&amp;isSearchRequest=true&amp;ml=%3A40000&amp;ms=22900%3B21%3B%3B&amp;od=up&amp;pw=110%3A110&amp;ref=srp&amp;refId=cca966fd-5e22-0a52-a8bc-f99a564508fb&amp;s=Car&amp;sb=p&amp;searchId=cca966fd-5e22-0a52-a8bc-f99a564508fb&amp;st=DEALER&amp;tr=AUTOMATIC_GEAR&amp;vc=Car" TargetMode="External"/><Relationship Id="rId4" Type="http://schemas.openxmlformats.org/officeDocument/2006/relationships/hyperlink" Target="https://suchen.mobile.de/fahrzeuge/details.html?id=422108850&amp;action=eyeCatcher&amp;ao=PICTURES&amp;cn=DE&amp;dam=false&amp;fr=2023%3A&amp;ft=PETROL&amp;isSearchRequest=true&amp;ml=%3A40000&amp;ms=22900%3B21%3B%3B&amp;od=up&amp;pw=110%3A110&amp;ref=srp&amp;refId=cca966fd-5e22-0a52-a8bc-f99a564508fb&amp;s=Car&amp;sb=p&amp;searchId=cca966fd-5e22-0a52-a8bc-f99a564508fb&amp;st=DEALER&amp;tr=AUTOMATIC_GEAR&amp;vc=Car" TargetMode="External"/><Relationship Id="rId9" Type="http://schemas.openxmlformats.org/officeDocument/2006/relationships/hyperlink" Target="https://www.autoscout24.ch/de/s/mo-scala/mk-skoda?firstRegistrationYearFrom=2023&amp;mileageTo=80000&amp;fuelTypeGroups%5B0=&amp;transmissionTypeGroups%5B0%5D=automatic&amp;kiloWattsFrom=110&amp;kiloWattsTo=450&amp;hadNoAccidentOnly=true&amp;fuelTypes%5B0%5D=petrol&amp;fuelTypes%5B1%5D=mhev-petrol&amp;sort%5B0%5D%5Btype%5D=PRICE&amp;sort%5B0%5D%5Border%5D=A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972F-5739-4674-89D3-1BC008DEF95A}">
  <dimension ref="A1:BA6"/>
  <sheetViews>
    <sheetView tabSelected="1" zoomScale="130" zoomScaleNormal="130" workbookViewId="0">
      <pane ySplit="1" topLeftCell="A2" activePane="bottomLeft" state="frozen"/>
      <selection pane="bottomLeft" activeCell="G10" sqref="G10"/>
    </sheetView>
  </sheetViews>
  <sheetFormatPr defaultColWidth="11.42578125" defaultRowHeight="15" outlineLevelCol="1" x14ac:dyDescent="0.25"/>
  <cols>
    <col min="1" max="1" width="15.28515625" style="5" customWidth="1"/>
    <col min="2" max="2" width="21.28515625" style="5" customWidth="1"/>
    <col min="3" max="3" width="17" style="5" customWidth="1"/>
    <col min="4" max="4" width="20.140625" style="5" customWidth="1"/>
    <col min="5" max="5" width="13.85546875" style="5" bestFit="1" customWidth="1"/>
    <col min="6" max="6" width="10.28515625" style="5" bestFit="1" customWidth="1"/>
    <col min="7" max="7" width="25" style="5" bestFit="1" customWidth="1"/>
    <col min="8" max="8" width="16.42578125" style="5" bestFit="1" customWidth="1"/>
    <col min="9" max="9" width="58.5703125" style="5" bestFit="1" customWidth="1"/>
    <col min="10" max="10" width="18.28515625" style="5" customWidth="1"/>
    <col min="11" max="11" width="13.140625" style="5" customWidth="1"/>
    <col min="12" max="12" width="16.7109375" style="5" customWidth="1"/>
    <col min="13" max="13" width="17.28515625" style="5" customWidth="1"/>
    <col min="14" max="14" width="13.28515625" style="5" customWidth="1"/>
    <col min="15" max="15" width="24.42578125" style="5" bestFit="1" customWidth="1"/>
    <col min="16" max="16" width="18.28515625" style="5" customWidth="1"/>
    <col min="17" max="17" width="12.140625" style="15" customWidth="1"/>
    <col min="18" max="18" width="21.28515625" style="15" customWidth="1"/>
    <col min="19" max="19" width="29.5703125" style="5" customWidth="1" outlineLevel="1" collapsed="1"/>
    <col min="20" max="20" width="37" style="5" customWidth="1" outlineLevel="1"/>
    <col min="21" max="22" width="19.7109375" style="5" hidden="1" customWidth="1" outlineLevel="1"/>
    <col min="23" max="23" width="27.28515625" style="5" hidden="1" customWidth="1" outlineLevel="1"/>
    <col min="24" max="24" width="30.85546875" style="5" hidden="1" customWidth="1" outlineLevel="1"/>
    <col min="25" max="25" width="30.85546875" style="5" customWidth="1"/>
    <col min="26" max="26" width="29.42578125" style="5" customWidth="1"/>
    <col min="27" max="27" width="28.42578125" style="5" customWidth="1"/>
    <col min="28" max="31" width="13.28515625" style="5" customWidth="1"/>
    <col min="32" max="33" width="13.42578125" style="5" customWidth="1"/>
    <col min="34" max="39" width="11.42578125" style="5"/>
    <col min="40" max="40" width="21.5703125" style="5" bestFit="1" customWidth="1"/>
    <col min="41" max="41" width="16.140625" style="5" customWidth="1"/>
    <col min="42" max="42" width="8.5703125" style="5" customWidth="1"/>
    <col min="43" max="43" width="19.42578125" style="5" bestFit="1" customWidth="1"/>
    <col min="44" max="45" width="8.5703125" style="5" customWidth="1"/>
    <col min="46" max="46" width="20.140625" style="5" bestFit="1" customWidth="1"/>
    <col min="47" max="48" width="8.5703125" style="5" customWidth="1"/>
    <col min="49" max="49" width="15.7109375" style="5" bestFit="1" customWidth="1"/>
    <col min="50" max="51" width="11.42578125" style="5"/>
    <col min="52" max="52" width="13.42578125" style="5" bestFit="1" customWidth="1"/>
    <col min="53" max="16384" width="11.42578125" style="5"/>
  </cols>
  <sheetData>
    <row r="1" spans="1:53" x14ac:dyDescent="0.25">
      <c r="A1" s="1" t="s">
        <v>0</v>
      </c>
      <c r="B1" s="1" t="s">
        <v>15</v>
      </c>
      <c r="C1" s="2" t="s">
        <v>1</v>
      </c>
      <c r="D1" s="2" t="s">
        <v>2</v>
      </c>
      <c r="E1" s="2" t="s">
        <v>3</v>
      </c>
      <c r="F1" s="20" t="s">
        <v>4</v>
      </c>
      <c r="G1" s="2" t="s">
        <v>19</v>
      </c>
      <c r="H1" s="2" t="s">
        <v>5</v>
      </c>
      <c r="I1" s="2" t="s">
        <v>6</v>
      </c>
      <c r="J1" s="2" t="s">
        <v>16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13</v>
      </c>
      <c r="Q1" s="3" t="s">
        <v>14</v>
      </c>
      <c r="R1" s="3" t="s">
        <v>31</v>
      </c>
      <c r="S1" s="16" t="s">
        <v>17</v>
      </c>
      <c r="T1" s="16" t="s">
        <v>27</v>
      </c>
      <c r="U1" s="4" t="s">
        <v>32</v>
      </c>
      <c r="V1" s="4" t="s">
        <v>33</v>
      </c>
      <c r="W1" s="4" t="s">
        <v>34</v>
      </c>
      <c r="X1" s="4" t="s">
        <v>35</v>
      </c>
      <c r="Y1" s="4" t="s">
        <v>46</v>
      </c>
      <c r="Z1" s="17" t="s">
        <v>28</v>
      </c>
      <c r="AA1" s="17" t="s">
        <v>29</v>
      </c>
      <c r="AB1" s="17" t="s">
        <v>50</v>
      </c>
      <c r="AC1" s="17" t="s">
        <v>51</v>
      </c>
      <c r="AD1" s="17" t="s">
        <v>52</v>
      </c>
      <c r="AE1" s="17" t="s">
        <v>53</v>
      </c>
      <c r="AF1" s="17" t="s">
        <v>54</v>
      </c>
      <c r="AG1" s="17" t="s">
        <v>55</v>
      </c>
      <c r="AH1" s="6" t="s">
        <v>48</v>
      </c>
      <c r="AI1" s="26">
        <v>0.2</v>
      </c>
      <c r="AK1" s="6" t="s">
        <v>49</v>
      </c>
      <c r="AL1" s="26">
        <v>0.12</v>
      </c>
      <c r="AN1" s="6" t="s">
        <v>20</v>
      </c>
      <c r="AO1" s="7">
        <v>8.3500000000000005E-2</v>
      </c>
      <c r="AQ1" s="6" t="s">
        <v>36</v>
      </c>
      <c r="AR1" s="7">
        <v>1200</v>
      </c>
      <c r="AT1" s="6" t="s">
        <v>37</v>
      </c>
      <c r="AU1" s="7">
        <v>350</v>
      </c>
      <c r="AW1" s="6" t="s">
        <v>38</v>
      </c>
      <c r="AX1" s="7">
        <v>150</v>
      </c>
      <c r="AZ1" s="6" t="s">
        <v>39</v>
      </c>
      <c r="BA1" s="19">
        <v>0.04</v>
      </c>
    </row>
    <row r="2" spans="1:53" x14ac:dyDescent="0.25">
      <c r="A2" s="8" t="s">
        <v>70</v>
      </c>
      <c r="B2" s="9" t="s">
        <v>103</v>
      </c>
      <c r="C2" s="13" t="s">
        <v>40</v>
      </c>
      <c r="D2" s="13" t="s">
        <v>30</v>
      </c>
      <c r="E2" s="14">
        <v>45764</v>
      </c>
      <c r="F2" s="18">
        <v>1</v>
      </c>
      <c r="G2" s="18" t="s">
        <v>63</v>
      </c>
      <c r="H2" s="18" t="s">
        <v>61</v>
      </c>
      <c r="I2" s="18" t="s">
        <v>62</v>
      </c>
      <c r="J2" s="29">
        <v>45567</v>
      </c>
      <c r="K2" s="18" t="s">
        <v>60</v>
      </c>
      <c r="L2" s="18" t="s">
        <v>58</v>
      </c>
      <c r="M2" s="18" t="s">
        <v>59</v>
      </c>
      <c r="N2" s="18">
        <v>25600</v>
      </c>
      <c r="O2" s="18">
        <v>569000</v>
      </c>
      <c r="P2" s="18" t="s">
        <v>57</v>
      </c>
      <c r="Q2" s="32" t="s">
        <v>56</v>
      </c>
      <c r="R2" s="32" t="s">
        <v>64</v>
      </c>
      <c r="S2" s="21">
        <v>67</v>
      </c>
      <c r="T2" s="23">
        <v>56900</v>
      </c>
      <c r="U2" s="10">
        <f>IF(O2="","",IF(C2="Sweden",O2/1.25,IF(C2="Germany",O2/1.19,IF(C2="Spain",O2/1.21,IF(C2="Poland",O2/1.23,IF(C2="France",O2/1.2))))))</f>
        <v>455200</v>
      </c>
      <c r="V2" s="10">
        <f>IF(O2="","",U2*$AO$1)</f>
        <v>38009.200000000004</v>
      </c>
      <c r="W2" s="10">
        <f>IF(O2="","",V2*1.081)</f>
        <v>41087.945200000002</v>
      </c>
      <c r="X2" s="10">
        <f>IF(O2="","",W2*(1+$BA$1))</f>
        <v>42731.463008000006</v>
      </c>
      <c r="Y2" s="10">
        <f>IF(O2="","",IF(OR(M2="Electric",M2="Hybrid"),(X2+$AR$1+$AX$1+$AU$1),(X2+$AR$1+$AX$1)))</f>
        <v>44081.463008000006</v>
      </c>
      <c r="Z2" s="11">
        <f>IF(OR(Y2="",T2=""),"",T2-Y2)</f>
        <v>12818.536991999994</v>
      </c>
      <c r="AA2" s="12">
        <f>IF(OR(T2="",Y2="",T2=""),"",(T2-Y2)/Y2)</f>
        <v>0.29079200455923288</v>
      </c>
      <c r="AB2" s="11">
        <f>IF(Y2="","",CEILING(Y2*(1+$AI$1),100))</f>
        <v>52900</v>
      </c>
      <c r="AC2" s="11">
        <f>IF(AB2="","",AB2-Y2)</f>
        <v>8818.5369919999939</v>
      </c>
      <c r="AD2" s="11">
        <f>IF(Y2="","",CEILING(Y2*(1+$AL$1),100))</f>
        <v>49400</v>
      </c>
      <c r="AE2" s="11">
        <f>IF(AD2="","",AD2-Y2)</f>
        <v>5318.5369919999939</v>
      </c>
      <c r="AF2" s="27">
        <f>IF(OR(T2="",Y2="",T2=""),"",(AA2-$AL$1))</f>
        <v>0.17079200455923288</v>
      </c>
      <c r="AG2" s="28">
        <f>IF(OR(AD2="",T2=""),"",T2-AD2)</f>
        <v>7500</v>
      </c>
      <c r="AH2" s="24"/>
      <c r="AI2" s="24"/>
      <c r="AJ2" s="24"/>
      <c r="AK2" s="24"/>
      <c r="AL2" s="24"/>
      <c r="AM2" s="24"/>
    </row>
    <row r="3" spans="1:53" x14ac:dyDescent="0.25">
      <c r="A3" s="8" t="s">
        <v>70</v>
      </c>
      <c r="B3" s="9" t="s">
        <v>103</v>
      </c>
      <c r="C3" s="13" t="s">
        <v>40</v>
      </c>
      <c r="D3" s="13" t="s">
        <v>30</v>
      </c>
      <c r="E3" s="14">
        <v>45764</v>
      </c>
      <c r="F3" s="18">
        <v>2</v>
      </c>
      <c r="G3" s="18" t="s">
        <v>69</v>
      </c>
      <c r="H3" s="18" t="s">
        <v>61</v>
      </c>
      <c r="I3" s="18" t="s">
        <v>68</v>
      </c>
      <c r="J3" s="29">
        <v>45539</v>
      </c>
      <c r="K3" s="18" t="s">
        <v>67</v>
      </c>
      <c r="L3" s="18" t="s">
        <v>58</v>
      </c>
      <c r="M3" s="18" t="s">
        <v>59</v>
      </c>
      <c r="N3" s="18">
        <v>15300</v>
      </c>
      <c r="O3" s="18">
        <v>579900</v>
      </c>
      <c r="P3" s="18" t="s">
        <v>66</v>
      </c>
      <c r="Q3" s="32" t="s">
        <v>65</v>
      </c>
      <c r="R3" s="22" t="s">
        <v>64</v>
      </c>
      <c r="S3" s="21">
        <v>67</v>
      </c>
      <c r="T3" s="23">
        <v>56900</v>
      </c>
      <c r="U3" s="10">
        <f t="shared" ref="U3:U5" si="0">IF(O3="","",IF(C3="Sweden",O3/1.25,IF(C3="Germany",O3/1.19,IF(C3="Spain",O3/1.21,IF(C3="Poland",O3/1.23,IF(C3="France",O3/1.2))))))</f>
        <v>463920</v>
      </c>
      <c r="V3" s="10">
        <f t="shared" ref="V3:V5" si="1">IF(O3="","",U3*$AO$1)</f>
        <v>38737.32</v>
      </c>
      <c r="W3" s="10">
        <f t="shared" ref="W3:W5" si="2">IF(O3="","",V3*1.081)</f>
        <v>41875.04292</v>
      </c>
      <c r="X3" s="10">
        <f t="shared" ref="X3:X5" si="3">IF(O3="","",W3*(1+$BA$1))</f>
        <v>43550.044636800005</v>
      </c>
      <c r="Y3" s="10">
        <f t="shared" ref="Y3:Y5" si="4">IF(O3="","",IF(OR(M3="Electric",M3="Hybrid"),(X3+$AR$1+$AX$1+$AU$1),(X3+$AR$1+$AX$1)))</f>
        <v>44900.044636800005</v>
      </c>
      <c r="Z3" s="11">
        <f>IF(OR(Y3="",T3=""),"",T3-Y3)</f>
        <v>11999.955363199995</v>
      </c>
      <c r="AA3" s="12">
        <f>IF(OR(T3="",Y3="",T3=""),"",(T3-Y3)/Y3)</f>
        <v>0.2672593192338355</v>
      </c>
      <c r="AB3" s="11">
        <f>IF(Y3="","",CEILING(Y3*(1+$AI$1),100))</f>
        <v>53900</v>
      </c>
      <c r="AC3" s="11">
        <f>IF(AB3="","",AB3-Y3)</f>
        <v>8999.9553631999952</v>
      </c>
      <c r="AD3" s="11">
        <f>IF(Y3="","",CEILING(Y3*(1+$AL$1),100))</f>
        <v>50300</v>
      </c>
      <c r="AE3" s="11">
        <f>IF(AD3="","",AD3-Y3)</f>
        <v>5399.9553631999952</v>
      </c>
      <c r="AF3" s="27">
        <f>IF(OR(T3="",Y3="",T3=""),"",(AA3-$AL$1))</f>
        <v>0.14725931923383551</v>
      </c>
      <c r="AG3" s="28">
        <f>IF(OR(AD3="",T3=""),"",T3-AD3)</f>
        <v>6600</v>
      </c>
      <c r="AH3" s="24"/>
      <c r="AI3" s="24"/>
      <c r="AJ3" s="24"/>
      <c r="AK3" s="24"/>
      <c r="AL3" s="24"/>
      <c r="AM3" s="24"/>
    </row>
    <row r="4" spans="1:53" x14ac:dyDescent="0.25">
      <c r="A4" s="8"/>
      <c r="B4" s="9" t="s">
        <v>101</v>
      </c>
      <c r="C4" s="13" t="s">
        <v>40</v>
      </c>
      <c r="D4" s="13" t="s">
        <v>30</v>
      </c>
      <c r="E4" s="14">
        <v>45764</v>
      </c>
      <c r="F4" s="30"/>
      <c r="G4" s="30"/>
      <c r="H4" s="30" t="s">
        <v>94</v>
      </c>
      <c r="I4" s="30" t="s">
        <v>95</v>
      </c>
      <c r="J4" s="31">
        <v>45564</v>
      </c>
      <c r="K4" s="30" t="s">
        <v>93</v>
      </c>
      <c r="L4" s="30" t="s">
        <v>58</v>
      </c>
      <c r="M4" s="30" t="s">
        <v>92</v>
      </c>
      <c r="N4" s="30">
        <v>16000</v>
      </c>
      <c r="O4" s="18">
        <v>1299900</v>
      </c>
      <c r="P4" s="18" t="s">
        <v>66</v>
      </c>
      <c r="Q4" s="32" t="s">
        <v>91</v>
      </c>
      <c r="R4" s="22" t="s">
        <v>99</v>
      </c>
      <c r="S4" s="21">
        <v>15</v>
      </c>
      <c r="T4" s="23">
        <v>125900</v>
      </c>
      <c r="U4" s="10">
        <f t="shared" si="0"/>
        <v>1039920</v>
      </c>
      <c r="V4" s="10">
        <f t="shared" si="1"/>
        <v>86833.32</v>
      </c>
      <c r="W4" s="10">
        <f t="shared" si="2"/>
        <v>93866.818920000005</v>
      </c>
      <c r="X4" s="10">
        <f t="shared" si="3"/>
        <v>97621.491676800011</v>
      </c>
      <c r="Y4" s="10">
        <f t="shared" si="4"/>
        <v>98971.491676800011</v>
      </c>
      <c r="Z4" s="11">
        <f>IF(OR(Y4="",T4=""),"",T4-Y4)</f>
        <v>26928.508323199989</v>
      </c>
      <c r="AA4" s="12">
        <f>IF(OR(T4="",Y4="",T4=""),"",(T4-Y4)/Y4)</f>
        <v>0.2720834845163026</v>
      </c>
      <c r="AB4" s="11">
        <f>IF(Y4="","",CEILING(Y4*(1+$AI$1),100))</f>
        <v>118800</v>
      </c>
      <c r="AC4" s="11">
        <f>IF(AB4="","",AB4-Y4)</f>
        <v>19828.508323199989</v>
      </c>
      <c r="AD4" s="11">
        <f>IF(Y4="","",CEILING(Y4*(1+$AL$1),100))</f>
        <v>110900</v>
      </c>
      <c r="AE4" s="11">
        <f>IF(AD4="","",AD4-Y4)</f>
        <v>11928.508323199989</v>
      </c>
      <c r="AF4" s="27">
        <f>IF(OR(T4="",Y4="",T4=""),"",(AA4-$AL$1))</f>
        <v>0.1520834845163026</v>
      </c>
      <c r="AG4" s="28">
        <f>IF(OR(AD4="",T4=""),"",T4-AD4)</f>
        <v>15000</v>
      </c>
      <c r="AH4" s="24"/>
      <c r="AI4" s="24"/>
      <c r="AJ4" s="24"/>
      <c r="AK4" s="24"/>
      <c r="AL4" s="24"/>
      <c r="AM4" s="24"/>
    </row>
    <row r="5" spans="1:53" x14ac:dyDescent="0.25">
      <c r="A5" s="8"/>
      <c r="B5" s="9" t="s">
        <v>102</v>
      </c>
      <c r="C5" s="13" t="s">
        <v>40</v>
      </c>
      <c r="D5" s="13" t="s">
        <v>30</v>
      </c>
      <c r="E5" s="14">
        <v>45764</v>
      </c>
      <c r="F5" s="30"/>
      <c r="G5" s="30"/>
      <c r="H5" s="30" t="s">
        <v>94</v>
      </c>
      <c r="I5" s="30" t="s">
        <v>98</v>
      </c>
      <c r="J5" s="30">
        <v>2024</v>
      </c>
      <c r="K5" s="30" t="s">
        <v>93</v>
      </c>
      <c r="L5" s="30" t="s">
        <v>58</v>
      </c>
      <c r="M5" s="30" t="s">
        <v>92</v>
      </c>
      <c r="N5" s="30">
        <v>15000</v>
      </c>
      <c r="O5" s="18">
        <v>1349900</v>
      </c>
      <c r="P5" s="18" t="s">
        <v>97</v>
      </c>
      <c r="Q5" s="32" t="s">
        <v>96</v>
      </c>
      <c r="R5" s="32" t="s">
        <v>99</v>
      </c>
      <c r="S5" s="21">
        <v>15</v>
      </c>
      <c r="T5" s="23">
        <v>125900</v>
      </c>
      <c r="U5" s="10">
        <f t="shared" si="0"/>
        <v>1079920</v>
      </c>
      <c r="V5" s="10">
        <f t="shared" si="1"/>
        <v>90173.32</v>
      </c>
      <c r="W5" s="10">
        <f t="shared" si="2"/>
        <v>97477.358919999999</v>
      </c>
      <c r="X5" s="10">
        <f t="shared" si="3"/>
        <v>101376.45327680001</v>
      </c>
      <c r="Y5" s="10">
        <f t="shared" si="4"/>
        <v>102726.45327680001</v>
      </c>
      <c r="Z5" s="11">
        <f>IF(OR(Y5="",T5=""),"",T5-Y5)</f>
        <v>23173.546723199994</v>
      </c>
      <c r="AA5" s="12">
        <f>IF(OR(T5="",Y5="",T5=""),"",(T5-Y5)/Y5)</f>
        <v>0.22558499767102896</v>
      </c>
      <c r="AB5" s="11">
        <f>IF(Y5="","",CEILING(Y5*(1+$AI$1),100))</f>
        <v>123300</v>
      </c>
      <c r="AC5" s="11">
        <f>IF(AB5="","",AB5-Y5)</f>
        <v>20573.546723199994</v>
      </c>
      <c r="AD5" s="11">
        <f>IF(Y5="","",CEILING(Y5*(1+$AL$1),100))</f>
        <v>115100</v>
      </c>
      <c r="AE5" s="11">
        <f>IF(AD5="","",AD5-Y5)</f>
        <v>12373.546723199994</v>
      </c>
      <c r="AF5" s="27">
        <f>IF(OR(T5="",Y5="",T5=""),"",(AA5-$AL$1))</f>
        <v>0.10558499767102897</v>
      </c>
      <c r="AG5" s="28">
        <f>IF(OR(AD5="",T5=""),"",T5-AD5)</f>
        <v>10800</v>
      </c>
      <c r="AH5" s="24"/>
      <c r="AI5" s="24"/>
      <c r="AJ5" s="24"/>
      <c r="AK5" s="24"/>
      <c r="AL5" s="24"/>
      <c r="AM5" s="24"/>
    </row>
    <row r="6" spans="1:53" x14ac:dyDescent="0.25">
      <c r="A6" s="8"/>
      <c r="B6" s="9" t="s">
        <v>100</v>
      </c>
      <c r="C6" s="13" t="s">
        <v>18</v>
      </c>
      <c r="D6" s="13" t="s">
        <v>30</v>
      </c>
      <c r="E6" s="14">
        <v>45764</v>
      </c>
      <c r="F6" s="30">
        <v>6</v>
      </c>
      <c r="G6" s="30"/>
      <c r="H6" s="30" t="s">
        <v>82</v>
      </c>
      <c r="I6" s="30" t="s">
        <v>89</v>
      </c>
      <c r="J6" s="31">
        <v>44986</v>
      </c>
      <c r="K6" s="30" t="s">
        <v>84</v>
      </c>
      <c r="L6" s="30" t="s">
        <v>58</v>
      </c>
      <c r="M6" s="30" t="s">
        <v>47</v>
      </c>
      <c r="N6" s="30">
        <v>7920</v>
      </c>
      <c r="O6" s="30">
        <v>20999</v>
      </c>
      <c r="P6" s="30" t="s">
        <v>66</v>
      </c>
      <c r="Q6" s="32" t="s">
        <v>88</v>
      </c>
      <c r="R6" s="22" t="s">
        <v>87</v>
      </c>
      <c r="S6" s="21">
        <v>63</v>
      </c>
      <c r="T6" s="23">
        <v>22980</v>
      </c>
      <c r="U6" s="10">
        <v>17646.218487394959</v>
      </c>
      <c r="V6" s="10">
        <v>16395.101596638659</v>
      </c>
      <c r="W6" s="10">
        <v>17723.104825966388</v>
      </c>
      <c r="X6" s="10">
        <v>18432.029019005044</v>
      </c>
      <c r="Y6" s="10">
        <v>19182.029019005044</v>
      </c>
      <c r="Z6" s="11">
        <v>3797.9709809949563</v>
      </c>
      <c r="AA6" s="12">
        <v>0.19799631088202546</v>
      </c>
      <c r="AB6" s="11">
        <v>23100</v>
      </c>
      <c r="AC6" s="11">
        <v>3917.9709809949563</v>
      </c>
      <c r="AD6" s="11">
        <v>21500</v>
      </c>
      <c r="AE6" s="11">
        <v>2317.9709809949563</v>
      </c>
      <c r="AF6" s="27">
        <v>7.7996310882025466E-2</v>
      </c>
      <c r="AG6" s="28">
        <v>1480</v>
      </c>
      <c r="AH6" s="24"/>
      <c r="AI6" s="24"/>
      <c r="AJ6" s="24"/>
      <c r="AK6" s="24"/>
      <c r="AL6" s="24"/>
      <c r="AM6" s="24"/>
    </row>
  </sheetData>
  <conditionalFormatting sqref="AH2:AM5 Z2:AE5">
    <cfRule type="cellIs" dxfId="5" priority="3" operator="lessThan">
      <formula>0</formula>
    </cfRule>
    <cfRule type="cellIs" dxfId="4" priority="4" operator="greaterThan">
      <formula>0</formula>
    </cfRule>
  </conditionalFormatting>
  <conditionalFormatting sqref="AH6:AM6 Z6:AE6">
    <cfRule type="cellIs" dxfId="1" priority="1" operator="lessThan">
      <formula>0</formula>
    </cfRule>
    <cfRule type="cellIs" dxfId="0" priority="2" operator="greaterThan">
      <formula>0</formula>
    </cfRule>
  </conditionalFormatting>
  <hyperlinks>
    <hyperlink ref="Q3" r:id="rId1" xr:uid="{971555F6-0E69-47D3-9F4C-F62E5A911E45}"/>
    <hyperlink ref="Q2" r:id="rId2" xr:uid="{5A5C695C-788C-4CB5-8018-20427F49BC11}"/>
    <hyperlink ref="R2" r:id="rId3" display="https://www.autoscout24.ch/de/s/mo-q5/mk-audi?firstRegistrationYearFrom=2024&amp;mileageTo=40000&amp;fuelTypeGroups%5B0=&amp;transmissionTypeGroups%5B0%5D=automatic&amp;kiloWattsFrom=150&amp;kiloWattsTo=600&amp;gear=A&amp;custtype=D&amp;ocs_listing=include&amp;size=20&amp;fc=40&amp;recommended_sorting_based_id=513bc40d-5456-4337-acec-442b28cf4d86&amp;search_id=yat2p898x6&amp;hadNoAccidentOnly=true&amp;fuelTypes%5B0%5D=diesel&amp;fuelTypes%5B1%5D=mhev-diesel&amp;sort%5B0%5D%5Btype%5D=PRICE&amp;sort%5B0%5D%5Border%5D=ASC" xr:uid="{14332052-CC35-4937-89D1-29C6E7A665FE}"/>
    <hyperlink ref="Q4" r:id="rId4" xr:uid="{66B59073-4EE3-4CE5-BA78-E8B277D73172}"/>
    <hyperlink ref="Q5" r:id="rId5" xr:uid="{D27AA09E-BBE9-4291-A0EA-1FB1376A9F33}"/>
    <hyperlink ref="R5" r:id="rId6" display="https://www.autoscout24.ch/de/s/mo-x7/mk-bmw?firstRegistrationYearFrom=2023&amp;mileageTo=40000&amp;fuelTypeGroups%5B0=&amp;transmissionTypeGroups%5B0%5D=automatic&amp;kiloWattsFrom=390&amp;kiloWattsTo=390&amp;hadNoAccidentOnly=true&amp;fuelTypes%5B0%5D=mhev-petrol&amp;fuelTypes%5B1%5D=petrol&amp;sort%5B0%5D%5Btype%5D=PRICE&amp;sort%5B0%5D%5Border%5D=ASC" xr:uid="{BA74EFE3-BCE8-4684-8BAC-66A189928AD5}"/>
    <hyperlink ref="Q6" r:id="rId7" display="https://suchen.mobile.de/fahrzeuge/details.html?id=420544410&amp;ao=PICTURES&amp;cn=DE&amp;dam=false&amp;fe=PANORAMIC_GLASS_ROOF&amp;fr=2023%3A&amp;ft=PETROL&amp;isSearchRequest=true&amp;ml=%3A40000&amp;ms=22900%3B21%3B%3B&amp;od=up&amp;pw=110%3A110&amp;ref=srp&amp;refId=beeb225b-bb7d-013e-8c05-93a7da950619&amp;s=Car&amp;sb=p&amp;searchId=beeb225b-bb7d-013e-8c05-93a7da950619&amp;st=DEALER&amp;tr=AUTOMATIC_GEAR&amp;vc=Car" xr:uid="{E34B0F93-3EF3-418F-A9E1-8048B16EC967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D0121-D4AF-4992-99AB-4A04CA251054}">
  <dimension ref="A1:BA8"/>
  <sheetViews>
    <sheetView zoomScale="70" zoomScaleNormal="70" workbookViewId="0">
      <pane ySplit="1" topLeftCell="A2" activePane="bottomLeft" state="frozen"/>
      <selection pane="bottomLeft" activeCell="A7" sqref="A7:XFD7"/>
    </sheetView>
  </sheetViews>
  <sheetFormatPr defaultColWidth="11.42578125" defaultRowHeight="15" outlineLevelCol="1" x14ac:dyDescent="0.25"/>
  <cols>
    <col min="1" max="1" width="15.28515625" style="5" customWidth="1"/>
    <col min="2" max="2" width="21.28515625" style="5" customWidth="1"/>
    <col min="3" max="3" width="17" style="5" customWidth="1"/>
    <col min="4" max="4" width="20.140625" style="5" customWidth="1"/>
    <col min="5" max="5" width="13.5703125" style="5" customWidth="1"/>
    <col min="6" max="6" width="10.28515625" style="5" bestFit="1" customWidth="1"/>
    <col min="7" max="7" width="10.28515625" style="5" hidden="1" customWidth="1" outlineLevel="1"/>
    <col min="8" max="8" width="16.42578125" style="5" bestFit="1" customWidth="1" collapsed="1"/>
    <col min="9" max="9" width="58.5703125" style="5" bestFit="1" customWidth="1"/>
    <col min="10" max="10" width="20.85546875" style="5" customWidth="1"/>
    <col min="11" max="11" width="13.140625" style="5" customWidth="1"/>
    <col min="12" max="12" width="16.7109375" style="5" customWidth="1"/>
    <col min="13" max="13" width="21.85546875" style="5" bestFit="1" customWidth="1"/>
    <col min="14" max="14" width="13.28515625" style="5" customWidth="1"/>
    <col min="15" max="15" width="22.28515625" style="5" customWidth="1"/>
    <col min="16" max="16" width="18.28515625" style="5" customWidth="1"/>
    <col min="17" max="17" width="12.140625" style="15" customWidth="1"/>
    <col min="18" max="18" width="21.28515625" style="15" customWidth="1"/>
    <col min="19" max="19" width="29.5703125" style="5" customWidth="1" outlineLevel="1"/>
    <col min="20" max="20" width="37" style="5" customWidth="1" outlineLevel="1"/>
    <col min="21" max="21" width="19.7109375" style="5" hidden="1" customWidth="1" outlineLevel="1"/>
    <col min="22" max="24" width="32.140625" style="5" hidden="1" customWidth="1" outlineLevel="1"/>
    <col min="25" max="25" width="32.140625" style="5" customWidth="1"/>
    <col min="26" max="26" width="29.42578125" style="5" customWidth="1"/>
    <col min="27" max="27" width="28.42578125" style="5" customWidth="1"/>
    <col min="28" max="28" width="11.28515625" style="5" bestFit="1" customWidth="1"/>
    <col min="29" max="29" width="14.5703125" style="5" customWidth="1"/>
    <col min="30" max="32" width="13.28515625" style="5" customWidth="1"/>
    <col min="33" max="39" width="11.42578125" style="5"/>
    <col min="40" max="40" width="19" style="5" bestFit="1" customWidth="1"/>
    <col min="41" max="41" width="16.140625" style="5" customWidth="1"/>
    <col min="42" max="42" width="18.85546875" style="5" bestFit="1" customWidth="1"/>
    <col min="43" max="43" width="17.85546875" style="5" bestFit="1" customWidth="1"/>
    <col min="44" max="44" width="11.42578125" style="5"/>
    <col min="45" max="45" width="18.5703125" style="5" bestFit="1" customWidth="1"/>
    <col min="46" max="46" width="17.28515625" style="5" bestFit="1" customWidth="1"/>
    <col min="47" max="47" width="11.42578125" style="5"/>
    <col min="48" max="48" width="18.5703125" style="5" bestFit="1" customWidth="1"/>
    <col min="49" max="49" width="11.7109375" style="5" bestFit="1" customWidth="1"/>
    <col min="50" max="51" width="11.42578125" style="5"/>
    <col min="52" max="52" width="10.85546875" style="5" bestFit="1" customWidth="1"/>
    <col min="53" max="16384" width="11.42578125" style="5"/>
  </cols>
  <sheetData>
    <row r="1" spans="1:53" x14ac:dyDescent="0.25">
      <c r="A1" s="1" t="s">
        <v>0</v>
      </c>
      <c r="B1" s="1" t="s">
        <v>15</v>
      </c>
      <c r="C1" s="2" t="s">
        <v>1</v>
      </c>
      <c r="D1" s="2" t="s">
        <v>2</v>
      </c>
      <c r="E1" s="2" t="s">
        <v>3</v>
      </c>
      <c r="F1" s="20" t="s">
        <v>4</v>
      </c>
      <c r="G1" s="2" t="s">
        <v>19</v>
      </c>
      <c r="H1" s="2" t="s">
        <v>5</v>
      </c>
      <c r="I1" s="2" t="s">
        <v>6</v>
      </c>
      <c r="J1" s="2" t="s">
        <v>41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12</v>
      </c>
      <c r="P1" s="2" t="s">
        <v>13</v>
      </c>
      <c r="Q1" s="3" t="s">
        <v>42</v>
      </c>
      <c r="R1" s="3" t="s">
        <v>31</v>
      </c>
      <c r="S1" s="16" t="s">
        <v>17</v>
      </c>
      <c r="T1" s="16" t="s">
        <v>27</v>
      </c>
      <c r="U1" s="4" t="s">
        <v>43</v>
      </c>
      <c r="V1" s="4" t="s">
        <v>44</v>
      </c>
      <c r="W1" s="4" t="s">
        <v>21</v>
      </c>
      <c r="X1" s="4" t="s">
        <v>23</v>
      </c>
      <c r="Y1" s="4" t="s">
        <v>46</v>
      </c>
      <c r="Z1" s="17" t="s">
        <v>28</v>
      </c>
      <c r="AA1" s="17" t="s">
        <v>29</v>
      </c>
      <c r="AB1" s="17" t="s">
        <v>50</v>
      </c>
      <c r="AC1" s="17" t="s">
        <v>51</v>
      </c>
      <c r="AD1" s="17" t="s">
        <v>52</v>
      </c>
      <c r="AE1" s="17" t="s">
        <v>53</v>
      </c>
      <c r="AF1" s="17" t="s">
        <v>54</v>
      </c>
      <c r="AG1" s="6" t="s">
        <v>55</v>
      </c>
      <c r="AH1" s="6" t="s">
        <v>48</v>
      </c>
      <c r="AI1" s="26">
        <v>0.2</v>
      </c>
      <c r="AK1" s="6" t="s">
        <v>49</v>
      </c>
      <c r="AL1" s="26">
        <v>0.12</v>
      </c>
      <c r="AN1" s="6" t="s">
        <v>45</v>
      </c>
      <c r="AO1" s="25">
        <v>0.92910000000000004</v>
      </c>
      <c r="AQ1" s="6" t="s">
        <v>24</v>
      </c>
      <c r="AR1" s="7">
        <v>600</v>
      </c>
      <c r="AT1" s="6" t="s">
        <v>25</v>
      </c>
      <c r="AU1" s="7">
        <v>350</v>
      </c>
      <c r="AW1" s="6" t="s">
        <v>26</v>
      </c>
      <c r="AX1" s="7">
        <v>150</v>
      </c>
      <c r="AZ1" s="6" t="s">
        <v>22</v>
      </c>
      <c r="BA1" s="19">
        <v>0.04</v>
      </c>
    </row>
    <row r="2" spans="1:53" x14ac:dyDescent="0.25">
      <c r="A2" s="8" t="s">
        <v>76</v>
      </c>
      <c r="B2" s="9"/>
      <c r="C2" s="13" t="s">
        <v>18</v>
      </c>
      <c r="D2" s="13" t="s">
        <v>30</v>
      </c>
      <c r="E2" s="14">
        <v>45764</v>
      </c>
      <c r="F2" s="18">
        <v>1</v>
      </c>
      <c r="G2" s="18"/>
      <c r="H2" s="18" t="s">
        <v>61</v>
      </c>
      <c r="I2" s="18" t="s">
        <v>72</v>
      </c>
      <c r="J2" s="29">
        <v>45474</v>
      </c>
      <c r="K2" s="18" t="s">
        <v>67</v>
      </c>
      <c r="L2" s="18" t="s">
        <v>58</v>
      </c>
      <c r="M2" s="18" t="s">
        <v>59</v>
      </c>
      <c r="N2" s="18">
        <v>37457</v>
      </c>
      <c r="O2" s="18">
        <v>48770</v>
      </c>
      <c r="P2" s="18" t="s">
        <v>57</v>
      </c>
      <c r="Q2" s="32" t="s">
        <v>71</v>
      </c>
      <c r="R2" s="22" t="s">
        <v>64</v>
      </c>
      <c r="S2" s="21">
        <v>69</v>
      </c>
      <c r="T2" s="23">
        <v>56900</v>
      </c>
      <c r="U2" s="10">
        <f>IF(O2="","",IF(C2="Sweden",O2/1.25,IF(C2="Germany",O2/1.19,IF(C2="Spain",O2/1.21,IF(C2="Poland",O2/1.23,IF(C2="France",O2/1.2))))))</f>
        <v>40983.193277310929</v>
      </c>
      <c r="V2" s="10">
        <f>IF(O2="","",U2*$AO$1)</f>
        <v>38077.484873949586</v>
      </c>
      <c r="W2" s="10">
        <f>IF(N2="","",V2*1.081)</f>
        <v>41161.761148739504</v>
      </c>
      <c r="X2" s="10">
        <f>IF(N2="","",W2*(1+$BA$1))</f>
        <v>42808.231594689089</v>
      </c>
      <c r="Y2" s="10">
        <f>IF(O2="","",IF(OR(M2="Elektro",M2="Hybrid"),(X2+$AR$1+$AX$1+$AU$1),(X2+$AR$1+$AX$1)))</f>
        <v>43558.231594689089</v>
      </c>
      <c r="Z2" s="11">
        <f>IF(OR(Y2="",T2=""),"",T2-Y2)</f>
        <v>13341.768405310911</v>
      </c>
      <c r="AA2" s="12">
        <f>IF(OR(T2="",Y2="",T2=""),"",(T2-Y2)/Y2)</f>
        <v>0.30629729254062804</v>
      </c>
      <c r="AB2" s="11">
        <f>IF(Y2="","",CEILING(Y2*(1+$AI$1),100))</f>
        <v>52300</v>
      </c>
      <c r="AC2" s="11">
        <f>IF(AB2="","",AB2-Y2)</f>
        <v>8741.7684053109115</v>
      </c>
      <c r="AD2" s="11">
        <f>IF(Y2="","",CEILING(Y2*(1+$AL$1),100))</f>
        <v>48800</v>
      </c>
      <c r="AE2" s="11">
        <f>IF(AD2="","",AD2-Y2)</f>
        <v>5241.7684053109115</v>
      </c>
      <c r="AF2" s="27">
        <f>IF(OR(T2="",Y2="",T2=""),"",(AA2-$AL$1))</f>
        <v>0.18629729254062805</v>
      </c>
      <c r="AG2" s="28">
        <f>IF(OR(AD2="",T2=""),"",T2-AD2)</f>
        <v>8100</v>
      </c>
      <c r="AH2" s="24"/>
      <c r="AI2" s="24"/>
      <c r="AJ2" s="24"/>
      <c r="AK2" s="24"/>
      <c r="AL2" s="24"/>
      <c r="AM2" s="24"/>
    </row>
    <row r="3" spans="1:53" x14ac:dyDescent="0.25">
      <c r="A3" s="8" t="s">
        <v>76</v>
      </c>
      <c r="B3" s="9"/>
      <c r="C3" s="13" t="s">
        <v>18</v>
      </c>
      <c r="D3" s="13" t="s">
        <v>30</v>
      </c>
      <c r="E3" s="14">
        <v>45764</v>
      </c>
      <c r="F3" s="18">
        <v>2</v>
      </c>
      <c r="G3" s="18"/>
      <c r="H3" s="18" t="s">
        <v>61</v>
      </c>
      <c r="I3" s="18" t="s">
        <v>75</v>
      </c>
      <c r="J3" s="29">
        <v>45444</v>
      </c>
      <c r="K3" s="18" t="s">
        <v>67</v>
      </c>
      <c r="L3" s="18" t="s">
        <v>58</v>
      </c>
      <c r="M3" s="18" t="s">
        <v>59</v>
      </c>
      <c r="N3" s="18">
        <v>28312</v>
      </c>
      <c r="O3" s="18">
        <v>49890</v>
      </c>
      <c r="P3" s="18" t="s">
        <v>74</v>
      </c>
      <c r="Q3" s="32" t="s">
        <v>73</v>
      </c>
      <c r="R3" s="22" t="s">
        <v>64</v>
      </c>
      <c r="S3" s="21">
        <v>69</v>
      </c>
      <c r="T3" s="23">
        <v>56900</v>
      </c>
      <c r="U3" s="10">
        <f>IF(O3="","",IF(C3="Sweden",O3/1.25,IF(C3="Germany",O3/1.19,IF(C3="Spain",O3/1.21,IF(C3="Poland",O3/1.23,IF(C3="France",O3/1.2))))))</f>
        <v>41924.36974789916</v>
      </c>
      <c r="V3" s="10">
        <f>IF(O3="","",U3*$AO$1)</f>
        <v>38951.931932773114</v>
      </c>
      <c r="W3" s="10">
        <f>IF(N3="","",V3*1.081)</f>
        <v>42107.038419327735</v>
      </c>
      <c r="X3" s="10">
        <f>IF(N3="","",W3*(1+$BA$1))</f>
        <v>43791.319956100844</v>
      </c>
      <c r="Y3" s="10">
        <f>IF(O3="","",IF(OR(M3="Elektro",M3="Hybrid"),(X3+$AR$1+$AX$1+$AU$1),(X3+$AR$1+$AX$1)))</f>
        <v>44541.319956100844</v>
      </c>
      <c r="Z3" s="11">
        <f>IF(OR(Y3="",T3=""),"",T3-Y3)</f>
        <v>12358.680043899156</v>
      </c>
      <c r="AA3" s="12">
        <f>IF(OR(T3="",Y3="",T3=""),"",(T3-Y3)/Y3)</f>
        <v>0.2774655096903203</v>
      </c>
      <c r="AB3" s="11">
        <f>IF(Y3="","",CEILING(Y3*(1+$AI$1),100))</f>
        <v>53500</v>
      </c>
      <c r="AC3" s="11">
        <f>IF(AB3="","",AB3-Y3)</f>
        <v>8958.6800438991559</v>
      </c>
      <c r="AD3" s="11">
        <f>IF(Y3="","",CEILING(Y3*(1+$AL$1),100))</f>
        <v>49900</v>
      </c>
      <c r="AE3" s="11">
        <f>IF(AD3="","",AD3-Y3)</f>
        <v>5358.6800438991559</v>
      </c>
      <c r="AF3" s="27">
        <f>IF(OR(T3="",Y3="",T3=""),"",(AA3-$AL$1))</f>
        <v>0.1574655096903203</v>
      </c>
      <c r="AG3" s="28">
        <f>IF(OR(AD3="",T3=""),"",T3-AD3)</f>
        <v>7000</v>
      </c>
      <c r="AH3" s="24"/>
      <c r="AI3" s="24"/>
      <c r="AJ3" s="24"/>
      <c r="AK3" s="24"/>
      <c r="AL3" s="24"/>
      <c r="AM3" s="24"/>
    </row>
    <row r="4" spans="1:53" x14ac:dyDescent="0.25">
      <c r="A4" s="8"/>
      <c r="B4" s="9"/>
      <c r="C4" s="13" t="s">
        <v>18</v>
      </c>
      <c r="D4" s="13" t="s">
        <v>30</v>
      </c>
      <c r="E4" s="14">
        <v>45764</v>
      </c>
      <c r="F4" s="18">
        <v>3</v>
      </c>
      <c r="G4" s="18"/>
      <c r="H4" s="18" t="s">
        <v>61</v>
      </c>
      <c r="I4" s="18" t="s">
        <v>79</v>
      </c>
      <c r="J4" s="29">
        <v>45627</v>
      </c>
      <c r="K4" s="18" t="s">
        <v>67</v>
      </c>
      <c r="L4" s="18" t="s">
        <v>58</v>
      </c>
      <c r="M4" s="18" t="s">
        <v>59</v>
      </c>
      <c r="N4" s="18">
        <v>9490</v>
      </c>
      <c r="O4" s="18">
        <v>53390</v>
      </c>
      <c r="P4" s="18" t="s">
        <v>78</v>
      </c>
      <c r="Q4" s="32" t="s">
        <v>77</v>
      </c>
      <c r="R4" s="22" t="s">
        <v>64</v>
      </c>
      <c r="S4" s="21">
        <v>69</v>
      </c>
      <c r="T4" s="23">
        <v>56900</v>
      </c>
      <c r="U4" s="10">
        <f>IF(O4="","",IF(C4="Sweden",O4/1.25,IF(C4="Germany",O4/1.19,IF(C4="Spain",O4/1.21,IF(C4="Poland",O4/1.23,IF(C4="France",O4/1.2))))))</f>
        <v>44865.546218487398</v>
      </c>
      <c r="V4" s="10">
        <f>IF(O4="","",U4*$AO$1)</f>
        <v>41684.578991596645</v>
      </c>
      <c r="W4" s="10">
        <f>IF(N4="","",V4*1.081)</f>
        <v>45061.029889915975</v>
      </c>
      <c r="X4" s="10">
        <f>IF(N4="","",W4*(1+$BA$1))</f>
        <v>46863.471085512618</v>
      </c>
      <c r="Y4" s="10">
        <f>IF(O4="","",IF(OR(M4="Elektro",M4="Hybrid"),(X4+$AR$1+$AX$1+$AU$1),(X4+$AR$1+$AX$1)))</f>
        <v>47613.471085512618</v>
      </c>
      <c r="Z4" s="11">
        <f>IF(OR(Y4="",T4=""),"",T4-Y4)</f>
        <v>9286.5289144873823</v>
      </c>
      <c r="AA4" s="12">
        <f>IF(OR(T4="",Y4="",T4=""),"",(T4-Y4)/Y4)</f>
        <v>0.19503994778723455</v>
      </c>
      <c r="AB4" s="11">
        <f>IF(Y4="","",CEILING(Y4*(1+$AI$1),100))</f>
        <v>57200</v>
      </c>
      <c r="AC4" s="11">
        <f>IF(AB4="","",AB4-Y4)</f>
        <v>9586.5289144873823</v>
      </c>
      <c r="AD4" s="11">
        <f>IF(Y4="","",CEILING(Y4*(1+$AL$1),100))</f>
        <v>53400</v>
      </c>
      <c r="AE4" s="11">
        <f>IF(AD4="","",AD4-Y4)</f>
        <v>5786.5289144873823</v>
      </c>
      <c r="AF4" s="27">
        <f>IF(OR(T4="",Y4="",T4=""),"",(AA4-$AL$1))</f>
        <v>7.5039947787234551E-2</v>
      </c>
      <c r="AG4" s="28">
        <f>IF(OR(AD4="",T4=""),"",T4-AD4)</f>
        <v>3500</v>
      </c>
      <c r="AH4" s="24"/>
      <c r="AI4" s="24"/>
      <c r="AJ4" s="24"/>
      <c r="AK4" s="24"/>
      <c r="AL4" s="24"/>
      <c r="AM4" s="24"/>
    </row>
    <row r="5" spans="1:53" x14ac:dyDescent="0.25">
      <c r="A5" s="8"/>
      <c r="B5" s="9"/>
      <c r="C5" s="13" t="s">
        <v>18</v>
      </c>
      <c r="D5" s="13" t="s">
        <v>30</v>
      </c>
      <c r="E5" s="14">
        <v>45764</v>
      </c>
      <c r="F5" s="30">
        <v>4</v>
      </c>
      <c r="G5" s="30"/>
      <c r="H5" s="30" t="s">
        <v>82</v>
      </c>
      <c r="I5" s="30" t="s">
        <v>83</v>
      </c>
      <c r="J5" s="31">
        <v>44958</v>
      </c>
      <c r="K5" s="30" t="s">
        <v>84</v>
      </c>
      <c r="L5" s="30" t="s">
        <v>58</v>
      </c>
      <c r="M5" s="30" t="s">
        <v>47</v>
      </c>
      <c r="N5" s="30">
        <v>20690</v>
      </c>
      <c r="O5" s="30">
        <v>19999</v>
      </c>
      <c r="P5" s="30" t="s">
        <v>74</v>
      </c>
      <c r="Q5" s="32" t="s">
        <v>81</v>
      </c>
      <c r="R5" s="22" t="s">
        <v>87</v>
      </c>
      <c r="S5" s="21">
        <v>63</v>
      </c>
      <c r="T5" s="23">
        <v>22980</v>
      </c>
      <c r="U5" s="10">
        <f>IF(O5="","",IF(C5="Sweden",O5/1.25,IF(C5="Germany",O5/1.19,IF(C5="Spain",O5/1.21,IF(C5="Poland",O5/1.23,IF(C5="France",O5/1.2))))))</f>
        <v>16805.882352941178</v>
      </c>
      <c r="V5" s="10">
        <f>IF(O5="","",U5*$AO$1)</f>
        <v>15614.345294117649</v>
      </c>
      <c r="W5" s="10">
        <f>IF(N5="","",V5*1.081)</f>
        <v>16879.107262941179</v>
      </c>
      <c r="X5" s="10">
        <f>IF(N5="","",W5*(1+$BA$1))</f>
        <v>17554.271553458828</v>
      </c>
      <c r="Y5" s="10">
        <f>IF(O5="","",IF(OR(M5="Elektro",M5="Hybrid"),(X5+$AR$1+$AX$1+$AU$1),(X5+$AR$1+$AX$1)))</f>
        <v>18304.271553458828</v>
      </c>
      <c r="Z5" s="11">
        <f>IF(OR(Y5="",T5=""),"",T5-Y5)</f>
        <v>4675.7284465411722</v>
      </c>
      <c r="AA5" s="12">
        <f>IF(OR(T5="",Y5="",T5=""),"",(T5-Y5)/Y5)</f>
        <v>0.25544466125764143</v>
      </c>
      <c r="AB5" s="11">
        <f>IF(Y5="","",CEILING(Y5*(1+$AI$1),100))</f>
        <v>22000</v>
      </c>
      <c r="AC5" s="11">
        <f>IF(AB5="","",AB5-Y5)</f>
        <v>3695.7284465411722</v>
      </c>
      <c r="AD5" s="11">
        <f>IF(Y5="","",CEILING(Y5*(1+$AL$1),100))</f>
        <v>20600</v>
      </c>
      <c r="AE5" s="11">
        <f>IF(AD5="","",AD5-Y5)</f>
        <v>2295.7284465411722</v>
      </c>
      <c r="AF5" s="27">
        <f>IF(OR(T5="",Y5="",T5=""),"",(AA5-$AL$1))</f>
        <v>0.13544466125764143</v>
      </c>
      <c r="AG5" s="28">
        <f>IF(OR(AD5="",T5=""),"",T5-AD5)</f>
        <v>2380</v>
      </c>
      <c r="AH5" s="24"/>
      <c r="AI5" s="24"/>
      <c r="AJ5" s="24"/>
      <c r="AK5" s="24"/>
      <c r="AL5" s="24"/>
      <c r="AM5" s="24"/>
    </row>
    <row r="6" spans="1:53" x14ac:dyDescent="0.25">
      <c r="A6" s="33" t="s">
        <v>80</v>
      </c>
      <c r="B6" s="9"/>
      <c r="C6" s="13" t="s">
        <v>18</v>
      </c>
      <c r="D6" s="13" t="s">
        <v>30</v>
      </c>
      <c r="E6" s="14">
        <v>45764</v>
      </c>
      <c r="F6" s="30">
        <v>5</v>
      </c>
      <c r="G6" s="30"/>
      <c r="H6" s="30" t="s">
        <v>82</v>
      </c>
      <c r="I6" s="30" t="s">
        <v>86</v>
      </c>
      <c r="J6" s="31">
        <v>45047</v>
      </c>
      <c r="K6" s="30" t="s">
        <v>84</v>
      </c>
      <c r="L6" s="30" t="s">
        <v>58</v>
      </c>
      <c r="M6" s="30" t="s">
        <v>47</v>
      </c>
      <c r="N6" s="30">
        <v>38110</v>
      </c>
      <c r="O6" s="30">
        <v>19999</v>
      </c>
      <c r="P6" s="30" t="s">
        <v>74</v>
      </c>
      <c r="Q6" s="32" t="s">
        <v>85</v>
      </c>
      <c r="R6" s="22" t="s">
        <v>87</v>
      </c>
      <c r="S6" s="21">
        <v>63</v>
      </c>
      <c r="T6" s="23">
        <v>22980</v>
      </c>
      <c r="U6" s="10">
        <f>IF(O6="","",IF(C6="Sweden",O6/1.25,IF(C6="Germany",O6/1.19,IF(C6="Spain",O6/1.21,IF(C6="Poland",O6/1.23,IF(C6="France",O6/1.2))))))</f>
        <v>16805.882352941178</v>
      </c>
      <c r="V6" s="10">
        <f>IF(O6="","",U6*$AO$1)</f>
        <v>15614.345294117649</v>
      </c>
      <c r="W6" s="10">
        <f>IF(N6="","",V6*1.081)</f>
        <v>16879.107262941179</v>
      </c>
      <c r="X6" s="10">
        <f>IF(N6="","",W6*(1+$BA$1))</f>
        <v>17554.271553458828</v>
      </c>
      <c r="Y6" s="10">
        <f>IF(O6="","",IF(OR(M6="Elektro",M6="Hybrid"),(X6+$AR$1+$AX$1+$AU$1),(X6+$AR$1+$AX$1)))</f>
        <v>18304.271553458828</v>
      </c>
      <c r="Z6" s="11">
        <f>IF(OR(Y6="",T6=""),"",T6-Y6)</f>
        <v>4675.7284465411722</v>
      </c>
      <c r="AA6" s="12">
        <f>IF(OR(T6="",Y6="",T6=""),"",(T6-Y6)/Y6)</f>
        <v>0.25544466125764143</v>
      </c>
      <c r="AB6" s="11">
        <f>IF(Y6="","",CEILING(Y6*(1+$AI$1),100))</f>
        <v>22000</v>
      </c>
      <c r="AC6" s="11">
        <f>IF(AB6="","",AB6-Y6)</f>
        <v>3695.7284465411722</v>
      </c>
      <c r="AD6" s="11">
        <f>IF(Y6="","",CEILING(Y6*(1+$AL$1),100))</f>
        <v>20600</v>
      </c>
      <c r="AE6" s="11">
        <f>IF(AD6="","",AD6-Y6)</f>
        <v>2295.7284465411722</v>
      </c>
      <c r="AF6" s="27">
        <f>IF(OR(T6="",Y6="",T6=""),"",(AA6-$AL$1))</f>
        <v>0.13544466125764143</v>
      </c>
      <c r="AG6" s="28">
        <f>IF(OR(AD6="",T6=""),"",T6-AD6)</f>
        <v>2380</v>
      </c>
      <c r="AH6" s="24"/>
      <c r="AI6" s="24"/>
      <c r="AJ6" s="24"/>
      <c r="AK6" s="24"/>
      <c r="AL6" s="24"/>
      <c r="AM6" s="24"/>
    </row>
    <row r="7" spans="1:53" x14ac:dyDescent="0.25">
      <c r="A7" s="8"/>
      <c r="B7" s="9" t="s">
        <v>100</v>
      </c>
      <c r="C7" s="13" t="s">
        <v>18</v>
      </c>
      <c r="D7" s="13" t="s">
        <v>30</v>
      </c>
      <c r="E7" s="14">
        <v>45764</v>
      </c>
      <c r="F7" s="30">
        <v>6</v>
      </c>
      <c r="G7" s="30"/>
      <c r="H7" s="30" t="s">
        <v>82</v>
      </c>
      <c r="I7" s="30" t="s">
        <v>89</v>
      </c>
      <c r="J7" s="31">
        <v>44986</v>
      </c>
      <c r="K7" s="30" t="s">
        <v>84</v>
      </c>
      <c r="L7" s="30" t="s">
        <v>58</v>
      </c>
      <c r="M7" s="30" t="s">
        <v>47</v>
      </c>
      <c r="N7" s="30">
        <v>7920</v>
      </c>
      <c r="O7" s="30">
        <v>20999</v>
      </c>
      <c r="P7" s="30" t="s">
        <v>66</v>
      </c>
      <c r="Q7" s="32" t="s">
        <v>88</v>
      </c>
      <c r="R7" s="22" t="s">
        <v>87</v>
      </c>
      <c r="S7" s="21">
        <v>63</v>
      </c>
      <c r="T7" s="23">
        <v>22980</v>
      </c>
      <c r="U7" s="10">
        <f>IF(O7="","",IF(C7="Sweden",O7/1.25,IF(C7="Germany",O7/1.19,IF(C7="Spain",O7/1.21,IF(C7="Poland",O7/1.23,IF(C7="France",O7/1.2))))))</f>
        <v>17646.218487394959</v>
      </c>
      <c r="V7" s="10">
        <f>IF(O7="","",U7*$AO$1)</f>
        <v>16395.101596638659</v>
      </c>
      <c r="W7" s="10">
        <f>IF(N7="","",V7*1.081)</f>
        <v>17723.104825966388</v>
      </c>
      <c r="X7" s="10">
        <f>IF(N7="","",W7*(1+$BA$1))</f>
        <v>18432.029019005044</v>
      </c>
      <c r="Y7" s="10">
        <f>IF(O7="","",IF(OR(M7="Elektro",M7="Hybrid"),(X7+$AR$1+$AX$1+$AU$1),(X7+$AR$1+$AX$1)))</f>
        <v>19182.029019005044</v>
      </c>
      <c r="Z7" s="11">
        <f>IF(OR(Y7="",T7=""),"",T7-Y7)</f>
        <v>3797.9709809949563</v>
      </c>
      <c r="AA7" s="12">
        <f>IF(OR(T7="",Y7="",T7=""),"",(T7-Y7)/Y7)</f>
        <v>0.19799631088202546</v>
      </c>
      <c r="AB7" s="11">
        <f>IF(Y7="","",CEILING(Y7*(1+$AI$1),100))</f>
        <v>23100</v>
      </c>
      <c r="AC7" s="11">
        <f>IF(AB7="","",AB7-Y7)</f>
        <v>3917.9709809949563</v>
      </c>
      <c r="AD7" s="11">
        <f>IF(Y7="","",CEILING(Y7*(1+$AL$1),100))</f>
        <v>21500</v>
      </c>
      <c r="AE7" s="11">
        <f>IF(AD7="","",AD7-Y7)</f>
        <v>2317.9709809949563</v>
      </c>
      <c r="AF7" s="27">
        <f>IF(OR(T7="",Y7="",T7=""),"",(AA7-$AL$1))</f>
        <v>7.7996310882025466E-2</v>
      </c>
      <c r="AG7" s="28">
        <f>IF(OR(AD7="",T7=""),"",T7-AD7)</f>
        <v>1480</v>
      </c>
      <c r="AH7" s="24"/>
      <c r="AI7" s="24"/>
      <c r="AJ7" s="24"/>
      <c r="AK7" s="24"/>
      <c r="AL7" s="24"/>
      <c r="AM7" s="24"/>
    </row>
    <row r="8" spans="1:53" x14ac:dyDescent="0.25">
      <c r="A8" s="8"/>
      <c r="B8" s="9"/>
      <c r="C8" s="13" t="s">
        <v>18</v>
      </c>
      <c r="D8" s="13" t="s">
        <v>30</v>
      </c>
      <c r="E8" s="14">
        <v>45764</v>
      </c>
      <c r="F8" s="30">
        <v>7</v>
      </c>
      <c r="G8" s="30"/>
      <c r="H8" s="30" t="s">
        <v>82</v>
      </c>
      <c r="I8" s="30" t="s">
        <v>83</v>
      </c>
      <c r="J8" s="31">
        <v>44986</v>
      </c>
      <c r="K8" s="30" t="s">
        <v>84</v>
      </c>
      <c r="L8" s="30" t="s">
        <v>58</v>
      </c>
      <c r="M8" s="30" t="s">
        <v>47</v>
      </c>
      <c r="N8" s="30">
        <v>4450</v>
      </c>
      <c r="O8" s="30">
        <v>20999</v>
      </c>
      <c r="P8" s="30" t="s">
        <v>74</v>
      </c>
      <c r="Q8" s="32" t="s">
        <v>90</v>
      </c>
      <c r="R8" s="32" t="s">
        <v>87</v>
      </c>
      <c r="S8" s="21">
        <v>63</v>
      </c>
      <c r="T8" s="23">
        <v>22980</v>
      </c>
      <c r="U8" s="10">
        <f>IF(O8="","",IF(C8="Sweden",O8/1.25,IF(C8="Germany",O8/1.19,IF(C8="Spain",O8/1.21,IF(C8="Poland",O8/1.23,IF(C8="France",O8/1.2))))))</f>
        <v>17646.218487394959</v>
      </c>
      <c r="V8" s="10">
        <f>IF(O8="","",U8*$AO$1)</f>
        <v>16395.101596638659</v>
      </c>
      <c r="W8" s="10">
        <f>IF(N8="","",V8*1.081)</f>
        <v>17723.104825966388</v>
      </c>
      <c r="X8" s="10">
        <f>IF(N8="","",W8*(1+$BA$1))</f>
        <v>18432.029019005044</v>
      </c>
      <c r="Y8" s="10">
        <f>IF(O8="","",IF(OR(M8="Elektro",M8="Hybrid"),(X8+$AR$1+$AX$1+$AU$1),(X8+$AR$1+$AX$1)))</f>
        <v>19182.029019005044</v>
      </c>
      <c r="Z8" s="11">
        <f>IF(OR(Y8="",T8=""),"",T8-Y8)</f>
        <v>3797.9709809949563</v>
      </c>
      <c r="AA8" s="12">
        <f>IF(OR(T8="",Y8="",T8=""),"",(T8-Y8)/Y8)</f>
        <v>0.19799631088202546</v>
      </c>
      <c r="AB8" s="11">
        <f>IF(Y8="","",CEILING(Y8*(1+$AI$1),100))</f>
        <v>23100</v>
      </c>
      <c r="AC8" s="11">
        <f>IF(AB8="","",AB8-Y8)</f>
        <v>3917.9709809949563</v>
      </c>
      <c r="AD8" s="11">
        <f>IF(Y8="","",CEILING(Y8*(1+$AL$1),100))</f>
        <v>21500</v>
      </c>
      <c r="AE8" s="11">
        <f>IF(AD8="","",AD8-Y8)</f>
        <v>2317.9709809949563</v>
      </c>
      <c r="AF8" s="27">
        <f>IF(OR(T8="",Y8="",T8=""),"",(AA8-$AL$1))</f>
        <v>7.7996310882025466E-2</v>
      </c>
      <c r="AG8" s="28">
        <f>IF(OR(AD8="",T8=""),"",T8-AD8)</f>
        <v>1480</v>
      </c>
      <c r="AH8" s="24"/>
      <c r="AI8" s="24"/>
      <c r="AJ8" s="24"/>
      <c r="AK8" s="24"/>
      <c r="AL8" s="24"/>
      <c r="AM8" s="24"/>
    </row>
  </sheetData>
  <phoneticPr fontId="7" type="noConversion"/>
  <conditionalFormatting sqref="AH2:AM8 Z2:AE8">
    <cfRule type="cellIs" dxfId="3" priority="5" operator="lessThan">
      <formula>0</formula>
    </cfRule>
    <cfRule type="cellIs" dxfId="2" priority="6" operator="greaterThan">
      <formula>0</formula>
    </cfRule>
  </conditionalFormatting>
  <hyperlinks>
    <hyperlink ref="Q2" r:id="rId1" display="https://suchen.mobile.de/fahrzeuge/details.html?id=417705244&amp;ao=PICTURES&amp;cn=DE&amp;dam=false&amp;fr=2024%3A&amp;ft=DIESEL&amp;isSearchRequest=true&amp;ml=%3A40000&amp;ms=1900%3B32%3B%3Bs+line&amp;od=up&amp;pageNumber=2&amp;pw=150%3A150&amp;ref=srp&amp;refId=0219bb82-137d-587c-8a65-bf2f5deb3a95&amp;s=Car&amp;sb=p&amp;searchId=0219bb82-137d-587c-8a65-bf2f5deb3a95&amp;st=DEALER&amp;tr=AUTOMATIC_GEAR&amp;vc=Car" xr:uid="{9E4B55E9-A470-486D-A97B-84C74F79B894}"/>
    <hyperlink ref="Q3" r:id="rId2" display="https://suchen.mobile.de/fahrzeuge/details.html?id=416581189&amp;ao=PICTURES&amp;cn=DE&amp;dam=false&amp;fr=2024%3A&amp;ft=DIESEL&amp;isSearchRequest=true&amp;ml=%3A40000&amp;ms=1900%3B32%3B%3Bs+line&amp;od=up&amp;pageNumber=3&amp;pw=150%3A150&amp;ref=srp&amp;refId=fe696e4c-898b-57fa-33cf-1819185cd84c&amp;s=Car&amp;sb=p&amp;searchId=fe696e4c-898b-57fa-33cf-1819185cd84c&amp;st=DEALER&amp;tr=AUTOMATIC_GEAR&amp;vc=Car" xr:uid="{2647E2C1-81B1-4592-961A-EC4EFE2415E1}"/>
    <hyperlink ref="Q4" r:id="rId3" display="https://suchen.mobile.de/fahrzeuge/details.html?id=412814707&amp;ao=PICTURES&amp;cn=DE&amp;dam=false&amp;ecol=SILVER&amp;fr=2024%3A&amp;ft=DIESEL&amp;isSearchRequest=true&amp;ml=%3A40000&amp;ms=1900%3B32%3B%3Bs+line&amp;od=up&amp;pw=150%3A150&amp;ref=srp&amp;refId=88c1f9de-b8a0-99b1-7711-03e49a193f27&amp;s=Car&amp;sb=p&amp;searchId=88c1f9de-b8a0-99b1-7711-03e49a193f27&amp;st=DEALER&amp;tr=AUTOMATIC_GEAR&amp;vc=Car" xr:uid="{F425489F-EB4E-4113-908A-5BA34B82FB2D}"/>
    <hyperlink ref="Q5" r:id="rId4" display="https://suchen.mobile.de/fahrzeuge/details.html?id=422108850&amp;action=eyeCatcher&amp;ao=PICTURES&amp;cn=DE&amp;dam=false&amp;fr=2023%3A&amp;ft=PETROL&amp;isSearchRequest=true&amp;ml=%3A40000&amp;ms=22900%3B21%3B%3B&amp;od=up&amp;pw=110%3A110&amp;ref=srp&amp;refId=cca966fd-5e22-0a52-a8bc-f99a564508fb&amp;s=Car&amp;sb=p&amp;searchId=cca966fd-5e22-0a52-a8bc-f99a564508fb&amp;st=DEALER&amp;tr=AUTOMATIC_GEAR&amp;vc=Car" xr:uid="{F45386A1-084B-4CE0-915F-F2B579F4D593}"/>
    <hyperlink ref="Q6" r:id="rId5" display="https://suchen.mobile.de/fahrzeuge/details.html?id=419115468&amp;ao=PICTURES&amp;cn=DE&amp;dam=false&amp;fr=2023%3A&amp;ft=PETROL&amp;isSearchRequest=true&amp;ml=%3A40000&amp;ms=22900%3B21%3B%3B&amp;od=up&amp;pw=110%3A110&amp;ref=srp&amp;refId=cca966fd-5e22-0a52-a8bc-f99a564508fb&amp;s=Car&amp;sb=p&amp;searchId=cca966fd-5e22-0a52-a8bc-f99a564508fb&amp;st=DEALER&amp;tr=AUTOMATIC_GEAR&amp;vc=Car" xr:uid="{EB6E72C6-D98F-48DB-9AF2-7681EBDAFDC7}"/>
    <hyperlink ref="Q7" r:id="rId6" display="https://suchen.mobile.de/fahrzeuge/details.html?id=420544410&amp;ao=PICTURES&amp;cn=DE&amp;dam=false&amp;fe=PANORAMIC_GLASS_ROOF&amp;fr=2023%3A&amp;ft=PETROL&amp;isSearchRequest=true&amp;ml=%3A40000&amp;ms=22900%3B21%3B%3B&amp;od=up&amp;pw=110%3A110&amp;ref=srp&amp;refId=beeb225b-bb7d-013e-8c05-93a7da950619&amp;s=Car&amp;sb=p&amp;searchId=beeb225b-bb7d-013e-8c05-93a7da950619&amp;st=DEALER&amp;tr=AUTOMATIC_GEAR&amp;vc=Car" xr:uid="{9344ADBD-B10C-41F6-8AFD-B5B180CA51E7}"/>
    <hyperlink ref="Q8" r:id="rId7" display="https://suchen.mobile.de/fahrzeuge/details.html?id=421365196&amp;ao=PICTURES&amp;cn=DE&amp;dam=false&amp;fe=PANORAMIC_GLASS_ROOF&amp;fr=2023%3A&amp;ft=PETROL&amp;isSearchRequest=true&amp;ml=%3A40000&amp;ms=22900%3B21%3B%3B&amp;od=up&amp;pw=110%3A110&amp;ref=srp&amp;refId=beeb225b-bb7d-013e-8c05-93a7da950619&amp;s=Car&amp;sb=p&amp;searchId=beeb225b-bb7d-013e-8c05-93a7da950619&amp;st=DEALER&amp;tr=AUTOMATIC_GEAR&amp;vc=Car" xr:uid="{6EBEEF8C-2FCA-4F39-A2A4-2A7B838289C6}"/>
    <hyperlink ref="A6" r:id="rId8" display="https://suchen.mobile.de/fahrzeuge/search.html?ao=PICTURES&amp;cn=DE&amp;dam=false&amp;fr=2023%3A&amp;ft=PETROL&amp;isSearchRequest=true&amp;ml=%3A40000&amp;ms=22900%3B21%3B%3B&amp;od=up&amp;pw=110%3A110&amp;ref=srp&amp;refId=e46d35cb-26dc-ca5a-9519-47d633b590e0&amp;s=Car&amp;sb=p&amp;st=DEALER&amp;tr=AUTOMATIC_GEAR&amp;vc=Car" xr:uid="{D78CEC99-CDF7-431F-93D6-A5254348D2D2}"/>
    <hyperlink ref="R8" r:id="rId9" display="https://www.autoscout24.ch/de/s/mo-scala/mk-skoda?firstRegistrationYearFrom=2023&amp;mileageTo=80000&amp;fuelTypeGroups%5B0=&amp;transmissionTypeGroups%5B0%5D=automatic&amp;kiloWattsFrom=110&amp;kiloWattsTo=450&amp;hadNoAccidentOnly=true&amp;fuelTypes%5B0%5D=petrol&amp;fuelTypes%5B1%5D=mhev-petrol&amp;sort%5B0%5D%5Btype%5D=PRICE&amp;sort%5B0%5D%5Border%5D=ASC" xr:uid="{21EFE134-6D4D-4745-8D06-44238A3A0F6B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SWE</vt:lpstr>
      <vt:lpstr>GER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Jura</dc:creator>
  <cp:lastModifiedBy>Štěpán Karásek Mgr.</cp:lastModifiedBy>
  <dcterms:created xsi:type="dcterms:W3CDTF">2023-01-09T15:29:06Z</dcterms:created>
  <dcterms:modified xsi:type="dcterms:W3CDTF">2025-04-17T10:08:31Z</dcterms:modified>
</cp:coreProperties>
</file>