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f58e0660499acb/CARS práce/Customer - Car Trade24/"/>
    </mc:Choice>
  </mc:AlternateContent>
  <xr:revisionPtr revIDLastSave="25" documentId="8_{9C29FE64-3F5E-4CCB-83B7-0D1359A7F5F9}" xr6:coauthVersionLast="47" xr6:coauthVersionMax="47" xr10:uidLastSave="{3FB32611-E443-40E2-90A3-2F53ACFF7285}"/>
  <bookViews>
    <workbookView xWindow="-120" yWindow="-120" windowWidth="29040" windowHeight="15720" xr2:uid="{D099003E-6DC0-415D-9798-8B4DDD4DCD62}"/>
  </bookViews>
  <sheets>
    <sheet name="SW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3" l="1"/>
  <c r="U3" i="3" l="1"/>
  <c r="V3" i="3" s="1"/>
  <c r="W3" i="3" s="1"/>
  <c r="X3" i="3" s="1"/>
  <c r="Y3" i="3" s="1"/>
  <c r="U4" i="3"/>
  <c r="V4" i="3" s="1"/>
  <c r="W4" i="3" s="1"/>
  <c r="X4" i="3" s="1"/>
  <c r="Y4" i="3" s="1"/>
  <c r="U2" i="3" l="1"/>
  <c r="V2" i="3" s="1"/>
  <c r="W2" i="3" s="1"/>
  <c r="X2" i="3" s="1"/>
  <c r="Y2" i="3" s="1"/>
  <c r="Z3" i="3" l="1"/>
  <c r="Z4" i="3"/>
  <c r="AD3" i="3" l="1"/>
  <c r="AG3" i="3" s="1"/>
  <c r="AB4" i="3"/>
  <c r="AC4" i="3" s="1"/>
  <c r="AD4" i="3"/>
  <c r="AG4" i="3" s="1"/>
  <c r="AB3" i="3"/>
  <c r="AC3" i="3" s="1"/>
  <c r="AA3" i="3"/>
  <c r="AF3" i="3" s="1"/>
  <c r="AA4" i="3"/>
  <c r="AF4" i="3" s="1"/>
  <c r="AE4" i="3" l="1"/>
  <c r="AE3" i="3"/>
  <c r="AD2" i="3"/>
  <c r="AG2" i="3" s="1"/>
  <c r="AB2" i="3"/>
  <c r="AC2" i="3" s="1"/>
  <c r="AA2" i="3"/>
  <c r="AF2" i="3" s="1"/>
  <c r="Z2" i="3"/>
  <c r="AE2" i="3" l="1"/>
</calcChain>
</file>

<file path=xl/sharedStrings.xml><?xml version="1.0" encoding="utf-8"?>
<sst xmlns="http://schemas.openxmlformats.org/spreadsheetml/2006/main" count="180" uniqueCount="122">
  <si>
    <t>Feedback</t>
  </si>
  <si>
    <t>Source Country</t>
  </si>
  <si>
    <t>Target Country</t>
  </si>
  <si>
    <t>Datum</t>
  </si>
  <si>
    <t>No.</t>
  </si>
  <si>
    <t>Brand</t>
  </si>
  <si>
    <t>Model</t>
  </si>
  <si>
    <t>Engine</t>
  </si>
  <si>
    <t>Drive</t>
  </si>
  <si>
    <t>Fuel type</t>
  </si>
  <si>
    <t>milage</t>
  </si>
  <si>
    <t>Purchase price kr</t>
  </si>
  <si>
    <t>Colour</t>
  </si>
  <si>
    <t>SWE Link</t>
  </si>
  <si>
    <t>Purchase status</t>
  </si>
  <si>
    <t>Model Year</t>
  </si>
  <si>
    <t>No. of cars target country</t>
  </si>
  <si>
    <t>Germany</t>
  </si>
  <si>
    <t>VIN_No.</t>
  </si>
  <si>
    <t>Currency rate kr - CHF</t>
  </si>
  <si>
    <t>Lowest price target country CHF</t>
  </si>
  <si>
    <t>TC abs profit after all costs</t>
  </si>
  <si>
    <t>TC rel profit after all costs</t>
  </si>
  <si>
    <t>Switzerland</t>
  </si>
  <si>
    <t>Target Country Link</t>
  </si>
  <si>
    <t>SWE ex vat kr</t>
  </si>
  <si>
    <t>SWE ex vat CHF</t>
  </si>
  <si>
    <t>SWE ex vat  + 8.1 % CHF</t>
  </si>
  <si>
    <t>SWE ex vat + 4.0 % Tax CHF</t>
  </si>
  <si>
    <t>Tansport costs SWE</t>
  </si>
  <si>
    <t>Electro/PlugIn SWE</t>
  </si>
  <si>
    <t>Prüfung SWE</t>
  </si>
  <si>
    <t>car tax SWE</t>
  </si>
  <si>
    <t>Sweden</t>
  </si>
  <si>
    <t>Final buying price</t>
  </si>
  <si>
    <t>Benzin</t>
  </si>
  <si>
    <t>% B2C Profit</t>
  </si>
  <si>
    <t>% B2B Profit</t>
  </si>
  <si>
    <t>Selling Price B2C</t>
  </si>
  <si>
    <t>Final Profit B2C</t>
  </si>
  <si>
    <t>Selling Price B2B</t>
  </si>
  <si>
    <t>Final Profit B2B</t>
  </si>
  <si>
    <t>Margin left for B2B</t>
  </si>
  <si>
    <t>Profit FOR B2B Dealer CHF</t>
  </si>
  <si>
    <t>https://www.blocket.se/annons/1002573174</t>
  </si>
  <si>
    <t>Blue</t>
  </si>
  <si>
    <t>Diesel</t>
  </si>
  <si>
    <t>Audi</t>
  </si>
  <si>
    <t>RAB01S</t>
  </si>
  <si>
    <t>Q5 Sportback 40 TDI Quattro S-LINE PANO MOMS *SE SPEC*</t>
  </si>
  <si>
    <t>204 PS</t>
  </si>
  <si>
    <t>Automatic</t>
  </si>
  <si>
    <t>https://www.autoscout24.ch/de/s/mo-q5/mk-audi?firstRegistrationYearFrom=2022&amp;mileageTo=50000&amp;fuelTypeGroups%5B0=&amp;transmissionTypeGroups%5B0%5D=automatic&amp;kiloWattsFrom=150&amp;kiloWattsTo=150&amp;gear=A&amp;custtype=D&amp;ocs_listing=include&amp;size=20&amp;fc=40&amp;recommended_sorting_based_id=513bc40d-5456-4337-acec-442b28cf4d86&amp;search_id=yat2p898x6&amp;hadNoAccidentOnly=true&amp;fuelTypes%5B0%5D=diesel&amp;fuelTypes%5B1%5D=mhev-diesel&amp;makeModelVersions%5B0%5D%5BversionFullName%5D=sportback&amp;equipmentSearchAttributes%5B0%5D=panorama-roof&amp;sort%5B0%5D%5Btype%5D=PRICE&amp;sort%5B0%5D%5Border%5D=ASC</t>
  </si>
  <si>
    <t>https://suchen.mobile.de/fahrzeuge/details.html?id=423303900&amp;ao=PICTURES&amp;cn=DE&amp;dam=false&amp;fr=2023%3A&amp;ft=DIESEL&amp;icol=BEIGE&amp;icol=BLUE&amp;icol=BROWN&amp;icol=GREY&amp;icol=OTHER_INTERIOR_COLOR&amp;icol=RED&amp;isSearchRequest=true&amp;ml=%3A40000&amp;ms=1900%3B32%3B%3B&amp;od=up&amp;pw=150%3A150&amp;ref=srp&amp;refId=561357b9-ae25-1dab-9676-dbb78bb13d3e&amp;s=Car&amp;sb=p&amp;searchId=561357b9-ae25-1dab-9676-dbb78bb13d3e&amp;st=DEALER&amp;tr=AUTOMATIC_GEAR&amp;vc=Car</t>
  </si>
  <si>
    <t>https://suchen.mobile.de/fahrzeuge/details.html?id=416718897&amp;ao=PICTURES&amp;cn=DE&amp;dam=false&amp;fr=2023%3A&amp;ft=DIESEL&amp;icol=BEIGE&amp;icol=BLUE&amp;icol=BROWN&amp;icol=GREY&amp;icol=OTHER_INTERIOR_COLOR&amp;icol=RED&amp;isSearchRequest=true&amp;ml=%3A40000&amp;ms=1900%3B32%3B%3B&amp;od=up&amp;pw=150%3A150&amp;ref=srp&amp;refId=561357b9-ae25-1dab-9676-dbb78bb13d3e&amp;s=Car&amp;sb=p&amp;searchId=561357b9-ae25-1dab-9676-dbb78bb13d3e&amp;st=DEALER&amp;tr=AUTOMATIC_GEAR&amp;vc=Car</t>
  </si>
  <si>
    <t>Gray</t>
  </si>
  <si>
    <t>Q5 2.0 TDI S line Digi-Cockpit Leder Navi Matrix</t>
  </si>
  <si>
    <t>https://www.autoscout24.ch/de/s/mo-q5/mk-audi?firstRegistrationYearFrom=2023&amp;mileageTo=50000&amp;fuelTypeGroups%5B0=&amp;transmissionTypeGroups%5B0%5D=automatic&amp;kiloWattsFrom=150&amp;kiloWattsTo=150&amp;gear=A&amp;custtype=D&amp;ocs_listing=include&amp;size=20&amp;fc=40&amp;recommended_sorting_based_id=513bc40d-5456-4337-acec-442b28cf4d86&amp;search_id=yat2p898x6&amp;hadNoAccidentOnly=true&amp;fuelTypes%5B0%5D=diesel&amp;fuelTypes%5B1%5D=mhev-diesel&amp;sort%5B0%5D%5Btype%5D=PRICE&amp;sort%5B0%5D%5Border%5D=ASC</t>
  </si>
  <si>
    <t>https://www.blocket.se/annons/1002579407</t>
  </si>
  <si>
    <t>Hybrid</t>
  </si>
  <si>
    <t>250 PS</t>
  </si>
  <si>
    <t>Kia</t>
  </si>
  <si>
    <t>Sorento PHEV Advance Plus Panorama (V-hjul, Motorv) 7 sitz</t>
  </si>
  <si>
    <t>ZOJ04A</t>
  </si>
  <si>
    <t>https://www.autoscout24.ch/de/s/mo-sorento/mk-kia?firstRegistrationYearFrom=2024&amp;mileageTo=40000&amp;fuelTypeGroups%5B0=&amp;transmissionTypeGroups%5B0%5D=automatic&amp;hadNoAccidentOnly=true&amp;seatsFrom=7&amp;fuelTypes%5B0%5D=phev-petrol&amp;fuelTypes%5B1%5D=petrol&amp;fuelTypes%5B2%5D=hev-petrol&amp;sort%5B0%5D%5Btype%5D=PRICE&amp;sort%5B0%5D%5Border%5D=ASC</t>
  </si>
  <si>
    <t>Hyundai</t>
  </si>
  <si>
    <t>https://www.autoscout24.ch/de/s/mo-i30/mk-hyundai/bt-estate?firstRegistrationYearFrom=2024&amp;mileageTo=40000&amp;fuelTypeGroups%5B0=&amp;transmissionTypeGroups%5B0%5D=automatic&amp;kiloWattsFrom=117&amp;kiloWattsTo=950&amp;hadNoAccidentOnly=true&amp;fuelTypes%5B0%5D=petrol&amp;fuelTypes%5B1%5D=mhev-petrol&amp;makeModelVersions%5B0%5D%5BversionFullName%5D=n%20line&amp;sort%5B0%5D%5Btype%5D=PRICE&amp;sort%5B0%5D%5Border%5D=ASC</t>
  </si>
  <si>
    <t>Black</t>
  </si>
  <si>
    <t>160 PS</t>
  </si>
  <si>
    <t>https://suchen.mobile.de/fahrzeuge/details.html?id=422764174&amp;ao=PICTURES&amp;c=EstateCar&amp;cn=DE&amp;dam=false&amp;fr=2023%3A&amp;ft=HYBRID&amp;ft=PETROL&amp;isSearchRequest=true&amp;ml=%3A30000&amp;ms=11600%3B30%3B%3Bn+line&amp;od=up&amp;pw=118%3A118&amp;ref=srp&amp;refId=266eba24-061b-a96f-34d2-9712db1b0406&amp;s=Car&amp;sb=p&amp;searchId=266eba24-061b-a96f-34d2-9712db1b0406&amp;st=DEALER&amp;tr=AUTOMATIC_GEAR&amp;vc=Car</t>
  </si>
  <si>
    <t>i30 Kombi 1.5 TGDI DCT N LINE Panoramadach Navi</t>
  </si>
  <si>
    <t>https://suchen.mobile.de/fahrzeuge/details.html?id=423397390&amp;ao=PICTURES&amp;c=EstateCar&amp;cn=DE&amp;dam=false&amp;fr=2023%3A&amp;ft=HYBRID&amp;ft=PETROL&amp;isSearchRequest=true&amp;ml=%3A30000&amp;ms=11600%3B30%3B%3Bn+line&amp;od=up&amp;pw=118%3A118&amp;ref=srp&amp;refId=266eba24-061b-a96f-34d2-9712db1b0406&amp;s=Car&amp;sb=p&amp;searchId=266eba24-061b-a96f-34d2-9712db1b0406&amp;st=DEALER&amp;tr=AUTOMATIC_GEAR&amp;vc=Car</t>
  </si>
  <si>
    <t> i30 cw 1.5 T-GDI Mild-Hybrid N Line - Pano - Cam</t>
  </si>
  <si>
    <t>https://suchen.mobile.de/fahrzeuge/details.html?id=422575887&amp;ao=PICTURES&amp;c=EstateCar&amp;cn=DE&amp;dam=false&amp;fe=PANORAMIC_GLASS_ROOF&amp;fr=2023%3A&amp;ft=HYBRID&amp;ft=PETROL&amp;isSearchRequest=true&amp;ml=%3A40000&amp;ms=11600%3B30%3B%3Bn+line&amp;od=up&amp;pw=102%3A111&amp;ref=srp&amp;refId=91f373f5-c6a0-0210-2802-03a424a5ad74&amp;s=Car&amp;sb=p&amp;searchId=91f373f5-c6a0-0210-2802-03a424a5ad74&amp;st=DEALER&amp;tr=AUTOMATIC_GEAR&amp;vc=Car</t>
  </si>
  <si>
    <t>https://suchen.mobile.de/fahrzeuge/details.html?id=423520448&amp;ao=PICTURES&amp;cn=DE&amp;dam=false&amp;fr=2024%3A2024&amp;ft=PETROL&amp;isSearchRequest=true&amp;ml=%3A40000&amp;ms=900%3B16%3B%3B&amp;od=up&amp;ref=srp&amp;refId=e1c064e7-96f5-0359-68dc-74c0ecdaaf70&amp;s=Car&amp;sb=p&amp;searchId=e1c064e7-96f5-0359-68dc-74c0ecdaaf70&amp;st=DEALER&amp;tr=AUTOMATIC_GEAR&amp;vc=Car</t>
  </si>
  <si>
    <t>280 PS</t>
  </si>
  <si>
    <t>Alfa Romeo</t>
  </si>
  <si>
    <t>Giulia 2.0 Turbo Veloce Q4 FULL LED CarPlay</t>
  </si>
  <si>
    <t>https://www.autoscout24.ch/de/s/mo-giulia/mk-alfa-romeo?firstRegistrationYearFrom=2024&amp;mileageTo=70000&amp;transmissionTypeGroups%5B0%5D=automatic&amp;fuelTypes%5B0%5D=petrol&amp;fuelTypes%5B1%5D=mhev-petrol&amp;horsePowerFrom=270&amp;hadNoAccidentOnly=true&amp;sort%5B0%5D%5Btype%5D=PRICE&amp;sort%5B0%5D%5Border%5D=ASC</t>
  </si>
  <si>
    <t>MB</t>
  </si>
  <si>
    <t>https://www.autoscout24.ch/de/s/mo-amg-gt/mk-mercedes-benz?firstRegistrationYearFrom=2024&amp;mileageTo=40000&amp;fuelTypeGroups%5B0=&amp;transmissionTypeGroups%5B0%5D=automatic&amp;kiloWattsFrom=270&amp;kiloWattsTo=1200&amp;gear=A&amp;custtype=D&amp;ocs_listing=include&amp;size=20&amp;fc=0&amp;search_id=s2r9ywjufu&amp;hadNoAccidentOnly=true&amp;fuelTypes%5B0%5D=petrol&amp;fuelTypes%5B1%5D=mhev-petrol&amp;doorsTo=3&amp;sort%5B0%5D%5Btype%5D=PRICE&amp;sort%5B0%5D%5Border%5D=ASC</t>
  </si>
  <si>
    <t>https://suchen.mobile.de/fahrzeuge/details.html?id=423280637&amp;action=eyeCatcher&amp;ao=PICTURES&amp;cn=DE&amp;dam=false&amp;door=TWO_OR_THREE&amp;fr=2024%3A&amp;ft=PETROL&amp;isSearchRequest=true&amp;ml=%3A40000&amp;ms=17200%3B242%3B%3B55&amp;od=up&amp;pw=270%3A&amp;ref=srp&amp;refId=c11a9dea-9077-e3a1-c5b1-ff360cb84628&amp;s=Car&amp;sb=p&amp;searchId=c11a9dea-9077-e3a1-c5b1-ff360cb84628&amp;st=DEALER&amp;tr=AUTOMATIC_GEAR&amp;vc=Car</t>
  </si>
  <si>
    <t>476 PS</t>
  </si>
  <si>
    <t>AMG GT 55 4Matic+ - V8 Biturbo-PREMIUM -2 Türen</t>
  </si>
  <si>
    <t>367 PS</t>
  </si>
  <si>
    <t>https://www.autoscout24.ch/de/s/mo-amg-gt/mk-mercedes-benz?firstRegistrationYearFrom=2024&amp;mileageTo=40000&amp;fuelTypeGroups%5B0=&amp;transmissionTypeGroups%5B0%5D=automatic&amp;kiloWattsFrom=270&amp;kiloWattsTo=1200&amp;gear=A&amp;custtype=D&amp;ocs_listing=include&amp;size=20&amp;fc=0&amp;search_id=s2r9ywjufu&amp;hadNoAccidentOnly=true&amp;fuelTypes%5B0%5D=petrol&amp;fuelTypes%5B1%5D=mhev-petrol&amp;sort%5B0%5D%5Btype%5D=PRICE&amp;sort%5B0%5D%5Border%5D=ASC</t>
  </si>
  <si>
    <t>https://suchen.mobile.de/fahrzeuge/details.html?id=403162447&amp;ao=PICTURES&amp;cn=DE&amp;dam=false&amp;fr=2024%3A&amp;ft=PETROL&amp;icol=BEIGE&amp;icol=BLUE&amp;icol=BROWN&amp;icol=GREY&amp;icol=RED&amp;isSearchRequest=true&amp;ml=%3A40000&amp;ms=17200%3B242%3B%3B&amp;od=up&amp;pw=270%3A&amp;ref=srp&amp;refId=443942b4-b994-5b09-d8e7-a00a23fb56c3&amp;s=Car&amp;sb=p&amp;searchId=443942b4-b994-5b09-d8e7-a00a23fb56c3&amp;st=DEALER&amp;tr=AUTOMATIC_GEAR&amp;vc=Car</t>
  </si>
  <si>
    <t>AMG GT 43 4M+ V8 Styling/Leder Exkl. Nappa beige</t>
  </si>
  <si>
    <t>White</t>
  </si>
  <si>
    <t>https://suchen.mobile.de/fahrzeuge/details.html?id=411065674&amp;ao=PICTURES&amp;c=SportsCar&amp;cn=DE&amp;dam=false&amp;fr=2024%3A&amp;ft=PETROL&amp;icol=BEIGE&amp;icol=OTHER_INTERIOR_COLOR&amp;isSearchRequest=true&amp;ml=%3A40000&amp;ms=3500%3B93%3B%3B&amp;od=up&amp;pw=375%3A375&amp;ref=srp&amp;refId=a8e2bddd-f7ed-9760-4578-f7089f19bff0&amp;s=Car&amp;sb=p&amp;searchId=a8e2bddd-f7ed-9760-4578-f7089f19bff0&amp;st=DEALER&amp;tr=AUTOMATIC_GEAR&amp;vc=Car</t>
  </si>
  <si>
    <t>Wine</t>
  </si>
  <si>
    <t>510 PS</t>
  </si>
  <si>
    <t>BMW</t>
  </si>
  <si>
    <t>M4 Competition M xDrive Coupé (Navi Pano 360 HK)</t>
  </si>
  <si>
    <t>https://suchen.mobile.de/fahrzeuge/details.html?id=417319221&amp;ao=PICTURES&amp;c=Limousine&amp;cn=DE&amp;dam=false&amp;fr=2022%3A&amp;ft=DIESEL&amp;icol=GREY&amp;isSearchRequest=true&amp;ml=%3A60000&amp;ms=17200%3B19%3B%3B&amp;od=up&amp;pw=140%3A151&amp;ref=srp&amp;refId=938b3434-7d5e-461d-60d1-6970099ab36e&amp;s=Car&amp;sb=p&amp;searchId=938b3434-7d5e-461d-60d1-6970099ab36e&amp;st=DEALER&amp;tr=AUTOMATIC_GEAR&amp;vc=Car</t>
  </si>
  <si>
    <t>200 PS</t>
  </si>
  <si>
    <t>C 220 d AMG DISTRONIC BURMESTER AHK KAMERA LED</t>
  </si>
  <si>
    <t>https://www.autoscout24.ch/de/s/mo-c-220/mk-mercedes-benz?firstRegistrationYearFrom=2022&amp;mileageTo=70000&amp;fuelTypeGroups%5B0=&amp;transmissionTypeGroups%5B0%5D=automatic&amp;hadNoAccidentOnly=true&amp;fuelTypes%5B0%5D=diesel&amp;fuelTypes%5B1%5D=mhev-diesel&amp;driveTypes%5B0%5D=all&amp;bodyTypes%5B0%5D=coupe&amp;bodyTypes%5B1%5D=saloon&amp;interiorColors%5B0%5D=beige&amp;interiorColors%5B1%5D=gray&amp;sort%5B0%5D%5Btype%5D=PRICE&amp;sort%5B0%5D%5Border%5D=ASC</t>
  </si>
  <si>
    <t>https://www.autoscout24.ch/de/s/mo-m4/mk-bmw/bt-coupe/ft-petrol?firstRegistrationYearFrom=2024&amp;mileageTo=40000&amp;fuelTypeGroups%5B0=&amp;transmissionTypeGroups%5B0%5D=automatic&amp;kiloWattsFrom=375&amp;kiloWattsTo=1100&amp;hadNoAccidentOnly=true&amp;sort%5B0%5D%5Btype%5D=PRICE&amp;sort%5B0%5D%5Border%5D=ASC</t>
  </si>
  <si>
    <t>https://www.blocket.se/annons/1002539719</t>
  </si>
  <si>
    <t>Bensin</t>
  </si>
  <si>
    <t>530 PS</t>
  </si>
  <si>
    <t>X5 M60i xDrive Sky Lounge B&amp;W Luftfjädring Drag DAP 2,85</t>
  </si>
  <si>
    <t>FKJ03K</t>
  </si>
  <si>
    <t>https://www.autoscout24.ch/de/s/mo-x5/mk-bmw?firstRegistrationYearFrom=2024&amp;mileageTo=40000&amp;fuelTypeGroups%5B0=&amp;transmissionTypeGroups%5B0%5D=automatic&amp;hadNoAccidentOnly=true&amp;fuelTypes%5B0%5D=petrol&amp;fuelTypes%5B1%5D=mhev-petrol&amp;horsePowerFrom=520&amp;sort%5B0%5D%5Btype%5D=PRICE&amp;sort%5B0%5D%5Border%5D=ASC</t>
  </si>
  <si>
    <t>https://suchen.mobile.de/fahrzeuge/details.html?id=417164285&amp;ao=PICTURES&amp;cn=DE&amp;dam=false&amp;fr=2024%3A2025&amp;ft=PETROL&amp;isSearchRequest=true&amp;ml=%3A40000&amp;ms=3500%3B49%3B%3B&amp;od=up&amp;pw=390%3A&amp;ref=srp&amp;refId=63b6ef8a-e124-fcc6-4d9c-99fd9b9fef9b&amp;s=Car&amp;sb=p&amp;searchId=63b6ef8a-e124-fcc6-4d9c-99fd9b9fef9b&amp;st=DEALER&amp;tr=AUTOMATIC_GEAR&amp;vc=Car</t>
  </si>
  <si>
    <t>Green</t>
  </si>
  <si>
    <t>M60i xDrive V8 Mild Hybrid Steptronic + PANO</t>
  </si>
  <si>
    <t>Online: 48 900</t>
  </si>
  <si>
    <t>Online: 57 900</t>
  </si>
  <si>
    <t>Online: 107 900</t>
  </si>
  <si>
    <t>Online: 56900</t>
  </si>
  <si>
    <t>Online: 27900</t>
  </si>
  <si>
    <t>IF gray fails</t>
  </si>
  <si>
    <t>Online: 39 900</t>
  </si>
  <si>
    <t>Online: 145 000</t>
  </si>
  <si>
    <t>Online: 114 900</t>
  </si>
  <si>
    <t>INKL FREE SERVICE</t>
  </si>
  <si>
    <t>Online: 84 900</t>
  </si>
  <si>
    <t>IF 4X4 49900</t>
  </si>
  <si>
    <t>But only if the green one isnt possible</t>
  </si>
  <si>
    <t>Online: 121900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</si>
</sst>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10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6" fillId="11" borderId="2" xfId="0" applyFont="1" applyFill="1" applyBorder="1"/>
    <xf numFmtId="1" fontId="5" fillId="11" borderId="2" xfId="0" applyNumberFormat="1" applyFont="1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10" fontId="0" fillId="12" borderId="1" xfId="0" applyNumberFormat="1" applyFill="1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0" fontId="1" fillId="7" borderId="1" xfId="1" applyFill="1" applyBorder="1"/>
    <xf numFmtId="0" fontId="1" fillId="11" borderId="2" xfId="1" applyFill="1" applyBorder="1"/>
    <xf numFmtId="0" fontId="3" fillId="13" borderId="1" xfId="0" applyFont="1" applyFill="1" applyBorder="1" applyAlignment="1">
      <alignment horizontal="center"/>
    </xf>
    <xf numFmtId="14" fontId="3" fillId="13" borderId="1" xfId="0" applyNumberFormat="1" applyFont="1" applyFill="1" applyBorder="1" applyAlignment="1">
      <alignment horizontal="center"/>
    </xf>
  </cellXfs>
  <cellStyles count="2">
    <cellStyle name="Hypertextový odkaz" xfId="1" builtinId="8"/>
    <cellStyle name="Normální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chen.mobile.de/fahrzeuge/details.html?id=422764174&amp;ao=PICTURES&amp;c=EstateCar&amp;cn=DE&amp;dam=false&amp;fr=2023%3A&amp;ft=HYBRID&amp;ft=PETROL&amp;isSearchRequest=true&amp;ml=%3A30000&amp;ms=11600%3B30%3B%3Bn+line&amp;od=up&amp;pw=118%3A118&amp;ref=srp&amp;refId=266eba24-061b-a96f-34d2-9712db1b0406&amp;s=Car&amp;sb=p&amp;searchId=266eba24-061b-a96f-34d2-9712db1b0406&amp;st=DEALER&amp;tr=AUTOMATIC_GEAR&amp;vc=Car" TargetMode="External"/><Relationship Id="rId13" Type="http://schemas.openxmlformats.org/officeDocument/2006/relationships/hyperlink" Target="https://suchen.mobile.de/fahrzeuge/details.html?id=411065674&amp;ao=PICTURES&amp;c=SportsCar&amp;cn=DE&amp;dam=false&amp;fr=2024%3A&amp;ft=PETROL&amp;icol=BEIGE&amp;icol=OTHER_INTERIOR_COLOR&amp;isSearchRequest=true&amp;ml=%3A40000&amp;ms=3500%3B93%3B%3B&amp;od=up&amp;pw=375%3A375&amp;ref=srp&amp;refId=a8e2bddd-f7ed-9760-4578-f7089f19bff0&amp;s=Car&amp;sb=p&amp;searchId=a8e2bddd-f7ed-9760-4578-f7089f19bff0&amp;st=DEALER&amp;tr=AUTOMATIC_GEAR&amp;vc=Car" TargetMode="External"/><Relationship Id="rId3" Type="http://schemas.openxmlformats.org/officeDocument/2006/relationships/hyperlink" Target="https://www.blocket.se/annons/1002573174" TargetMode="External"/><Relationship Id="rId7" Type="http://schemas.openxmlformats.org/officeDocument/2006/relationships/hyperlink" Target="https://suchen.mobile.de/fahrzeuge/details.html?id=416718897&amp;ao=PICTURES&amp;cn=DE&amp;dam=false&amp;fr=2023%3A&amp;ft=DIESEL&amp;icol=BEIGE&amp;icol=BLUE&amp;icol=BROWN&amp;icol=GREY&amp;icol=OTHER_INTERIOR_COLOR&amp;icol=RED&amp;isSearchRequest=true&amp;ml=%3A40000&amp;ms=1900%3B32%3B%3B&amp;od=up&amp;pw=150%3A150&amp;ref=srp&amp;refId=561357b9-ae25-1dab-9676-dbb78bb13d3e&amp;s=Car&amp;sb=p&amp;searchId=561357b9-ae25-1dab-9676-dbb78bb13d3e&amp;st=DEALER&amp;tr=AUTOMATIC_GEAR&amp;vc=Car" TargetMode="External"/><Relationship Id="rId12" Type="http://schemas.openxmlformats.org/officeDocument/2006/relationships/hyperlink" Target="https://suchen.mobile.de/fahrzeuge/details.html?id=403162447&amp;ao=PICTURES&amp;cn=DE&amp;dam=false&amp;fr=2024%3A&amp;ft=PETROL&amp;icol=BEIGE&amp;icol=BLUE&amp;icol=BROWN&amp;icol=GREY&amp;icol=RED&amp;isSearchRequest=true&amp;ml=%3A40000&amp;ms=17200%3B242%3B%3B&amp;od=up&amp;pw=270%3A&amp;ref=srp&amp;refId=443942b4-b994-5b09-d8e7-a00a23fb56c3&amp;s=Car&amp;sb=p&amp;searchId=443942b4-b994-5b09-d8e7-a00a23fb56c3&amp;st=DEALER&amp;tr=AUTOMATIC_GEAR&amp;vc=Car" TargetMode="External"/><Relationship Id="rId2" Type="http://schemas.openxmlformats.org/officeDocument/2006/relationships/hyperlink" Target="https://www.autoscout24.ch/de/s/mo-x5/mk-bmw?firstRegistrationYearFrom=2024&amp;mileageTo=40000&amp;fuelTypeGroups%5B0=&amp;transmissionTypeGroups%5B0%5D=automatic&amp;hadNoAccidentOnly=true&amp;fuelTypes%5B0%5D=petrol&amp;fuelTypes%5B1%5D=mhev-petrol&amp;horsePowerFrom=520&amp;sort%5B0%5D%5Btype%5D=PRICE&amp;sort%5B0%5D%5Border%5D=ASC" TargetMode="External"/><Relationship Id="rId1" Type="http://schemas.openxmlformats.org/officeDocument/2006/relationships/hyperlink" Target="https://suchen.mobile.de/fahrzeuge/details.html?id=423303900&amp;ao=PICTURES&amp;cn=DE&amp;dam=false&amp;fr=2023%3A&amp;ft=DIESEL&amp;icol=BEIGE&amp;icol=BLUE&amp;icol=BROWN&amp;icol=GREY&amp;icol=OTHER_INTERIOR_COLOR&amp;icol=RED&amp;isSearchRequest=true&amp;ml=%3A40000&amp;ms=1900%3B32%3B%3B&amp;od=up&amp;pw=150%3A150&amp;ref=srp&amp;refId=561357b9-ae25-1dab-9676-dbb78bb13d3e&amp;s=Car&amp;sb=p&amp;searchId=561357b9-ae25-1dab-9676-dbb78bb13d3e&amp;st=DEALER&amp;tr=AUTOMATIC_GEAR&amp;vc=Car" TargetMode="External"/><Relationship Id="rId6" Type="http://schemas.openxmlformats.org/officeDocument/2006/relationships/hyperlink" Target="https://www.autoscout24.ch/de/s/mo-sorento/mk-kia?firstRegistrationYearFrom=2024&amp;mileageTo=40000&amp;fuelTypeGroups%5B0=&amp;transmissionTypeGroups%5B0%5D=automatic&amp;hadNoAccidentOnly=true&amp;seatsFrom=7&amp;fuelTypes%5B0%5D=phev-petrol&amp;fuelTypes%5B1%5D=petrol&amp;fuelTypes%5B2%5D=hev-petrol&amp;sort%5B0%5D%5Btype%5D=PRICE&amp;sort%5B0%5D%5Border%5D=ASC" TargetMode="External"/><Relationship Id="rId11" Type="http://schemas.openxmlformats.org/officeDocument/2006/relationships/hyperlink" Target="https://suchen.mobile.de/fahrzeuge/details.html?id=423280637&amp;action=eyeCatcher&amp;ao=PICTURES&amp;cn=DE&amp;dam=false&amp;door=TWO_OR_THREE&amp;fr=2024%3A&amp;ft=PETROL&amp;isSearchRequest=true&amp;ml=%3A40000&amp;ms=17200%3B242%3B%3B55&amp;od=up&amp;pw=270%3A&amp;ref=srp&amp;refId=c11a9dea-9077-e3a1-c5b1-ff360cb84628&amp;s=Car&amp;sb=p&amp;searchId=c11a9dea-9077-e3a1-c5b1-ff360cb84628&amp;st=DEALER&amp;tr=AUTOMATIC_GEAR&amp;vc=Car" TargetMode="External"/><Relationship Id="rId5" Type="http://schemas.openxmlformats.org/officeDocument/2006/relationships/hyperlink" Target="https://www.blocket.se/annons/1002539719" TargetMode="External"/><Relationship Id="rId15" Type="http://schemas.openxmlformats.org/officeDocument/2006/relationships/hyperlink" Target="https://suchen.mobile.de/fahrzeuge/details.html?id=417164285&amp;ao=PICTURES&amp;cn=DE&amp;dam=false&amp;fr=2024%3A2025&amp;ft=PETROL&amp;isSearchRequest=true&amp;ml=%3A40000&amp;ms=3500%3B49%3B%3B&amp;od=up&amp;pw=390%3A&amp;ref=srp&amp;refId=63b6ef8a-e124-fcc6-4d9c-99fd9b9fef9b&amp;s=Car&amp;sb=p&amp;searchId=63b6ef8a-e124-fcc6-4d9c-99fd9b9fef9b&amp;st=DEALER&amp;tr=AUTOMATIC_GEAR&amp;vc=Car" TargetMode="External"/><Relationship Id="rId10" Type="http://schemas.openxmlformats.org/officeDocument/2006/relationships/hyperlink" Target="https://suchen.mobile.de/fahrzeuge/details.html?id=423520448&amp;ao=PICTURES&amp;cn=DE&amp;dam=false&amp;fr=2024%3A2024&amp;ft=PETROL&amp;isSearchRequest=true&amp;ml=%3A40000&amp;ms=900%3B16%3B%3B&amp;od=up&amp;ref=srp&amp;refId=e1c064e7-96f5-0359-68dc-74c0ecdaaf70&amp;s=Car&amp;sb=p&amp;searchId=e1c064e7-96f5-0359-68dc-74c0ecdaaf70&amp;st=DEALER&amp;tr=AUTOMATIC_GEAR&amp;vc=Car" TargetMode="External"/><Relationship Id="rId4" Type="http://schemas.openxmlformats.org/officeDocument/2006/relationships/hyperlink" Target="https://www.blocket.se/annons/1002579407" TargetMode="External"/><Relationship Id="rId9" Type="http://schemas.openxmlformats.org/officeDocument/2006/relationships/hyperlink" Target="https://suchen.mobile.de/fahrzeuge/details.html?id=423397390&amp;ao=PICTURES&amp;c=EstateCar&amp;cn=DE&amp;dam=false&amp;fr=2023%3A&amp;ft=HYBRID&amp;ft=PETROL&amp;isSearchRequest=true&amp;ml=%3A30000&amp;ms=11600%3B30%3B%3Bn+line&amp;od=up&amp;pw=118%3A118&amp;ref=srp&amp;refId=266eba24-061b-a96f-34d2-9712db1b0406&amp;s=Car&amp;sb=p&amp;searchId=266eba24-061b-a96f-34d2-9712db1b0406&amp;st=DEALER&amp;tr=AUTOMATIC_GEAR&amp;vc=Car" TargetMode="External"/><Relationship Id="rId14" Type="http://schemas.openxmlformats.org/officeDocument/2006/relationships/hyperlink" Target="https://suchen.mobile.de/fahrzeuge/details.html?id=417319221&amp;ao=PICTURES&amp;c=Limousine&amp;cn=DE&amp;dam=false&amp;fr=2022%3A&amp;ft=DIESEL&amp;icol=GREY&amp;isSearchRequest=true&amp;ml=%3A60000&amp;ms=17200%3B19%3B%3B&amp;od=up&amp;pw=140%3A151&amp;ref=srp&amp;refId=938b3434-7d5e-461d-60d1-6970099ab36e&amp;s=Car&amp;sb=p&amp;searchId=938b3434-7d5e-461d-60d1-6970099ab36e&amp;st=DEALER&amp;tr=AUTOMATIC_GEAR&amp;vc=C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972F-5739-4674-89D3-1BC008DEF95A}">
  <dimension ref="A1:BA13"/>
  <sheetViews>
    <sheetView tabSelected="1" zoomScaleNormal="100" workbookViewId="0">
      <pane ySplit="1" topLeftCell="A2" activePane="bottomLeft" state="frozen"/>
      <selection pane="bottomLeft" activeCell="F13" sqref="F13"/>
    </sheetView>
  </sheetViews>
  <sheetFormatPr defaultColWidth="11.42578125" defaultRowHeight="15" outlineLevelCol="1" x14ac:dyDescent="0.25"/>
  <cols>
    <col min="1" max="1" width="15.28515625" style="5" customWidth="1"/>
    <col min="2" max="2" width="21.28515625" style="5" customWidth="1"/>
    <col min="3" max="3" width="17" style="5" customWidth="1"/>
    <col min="4" max="4" width="20.140625" style="5" customWidth="1"/>
    <col min="5" max="5" width="13.85546875" style="5" bestFit="1" customWidth="1"/>
    <col min="6" max="6" width="10.28515625" style="5" bestFit="1" customWidth="1"/>
    <col min="7" max="7" width="25" style="5" bestFit="1" customWidth="1"/>
    <col min="8" max="8" width="16.42578125" style="5" bestFit="1" customWidth="1"/>
    <col min="9" max="9" width="58.5703125" style="5" bestFit="1" customWidth="1"/>
    <col min="10" max="10" width="18.28515625" style="5" customWidth="1"/>
    <col min="11" max="11" width="13.140625" style="5" customWidth="1"/>
    <col min="12" max="12" width="16.7109375" style="5" customWidth="1"/>
    <col min="13" max="13" width="17.28515625" style="5" customWidth="1"/>
    <col min="14" max="14" width="13.28515625" style="5" customWidth="1"/>
    <col min="15" max="15" width="24.42578125" style="5" bestFit="1" customWidth="1"/>
    <col min="16" max="16" width="18.28515625" style="5" customWidth="1"/>
    <col min="17" max="17" width="12.140625" style="15" customWidth="1"/>
    <col min="18" max="18" width="21.28515625" style="15" customWidth="1"/>
    <col min="19" max="19" width="29.5703125" style="5" customWidth="1" outlineLevel="1" collapsed="1"/>
    <col min="20" max="20" width="37" style="5" customWidth="1" outlineLevel="1"/>
    <col min="21" max="22" width="19.7109375" style="5" hidden="1" customWidth="1" outlineLevel="1"/>
    <col min="23" max="23" width="27.28515625" style="5" hidden="1" customWidth="1" outlineLevel="1"/>
    <col min="24" max="24" width="30.85546875" style="5" hidden="1" customWidth="1" outlineLevel="1"/>
    <col min="25" max="25" width="30.85546875" style="5" customWidth="1"/>
    <col min="26" max="26" width="29.42578125" style="5" customWidth="1"/>
    <col min="27" max="27" width="28.42578125" style="5" customWidth="1"/>
    <col min="28" max="31" width="13.28515625" style="5" customWidth="1"/>
    <col min="32" max="33" width="13.42578125" style="5" customWidth="1"/>
    <col min="34" max="39" width="11.42578125" style="5"/>
    <col min="40" max="40" width="21.5703125" style="5" bestFit="1" customWidth="1"/>
    <col min="41" max="41" width="16.140625" style="5" customWidth="1"/>
    <col min="42" max="42" width="8.5703125" style="5" customWidth="1"/>
    <col min="43" max="43" width="19.42578125" style="5" bestFit="1" customWidth="1"/>
    <col min="44" max="45" width="8.5703125" style="5" customWidth="1"/>
    <col min="46" max="46" width="20.140625" style="5" bestFit="1" customWidth="1"/>
    <col min="47" max="48" width="8.5703125" style="5" customWidth="1"/>
    <col min="49" max="49" width="15.7109375" style="5" bestFit="1" customWidth="1"/>
    <col min="50" max="51" width="11.42578125" style="5"/>
    <col min="52" max="52" width="13.42578125" style="5" bestFit="1" customWidth="1"/>
    <col min="53" max="16384" width="11.42578125" style="5"/>
  </cols>
  <sheetData>
    <row r="1" spans="1:53" x14ac:dyDescent="0.25">
      <c r="A1" s="1" t="s">
        <v>0</v>
      </c>
      <c r="B1" s="1" t="s">
        <v>14</v>
      </c>
      <c r="C1" s="2" t="s">
        <v>1</v>
      </c>
      <c r="D1" s="2" t="s">
        <v>2</v>
      </c>
      <c r="E1" s="2" t="s">
        <v>3</v>
      </c>
      <c r="F1" s="20" t="s">
        <v>4</v>
      </c>
      <c r="G1" s="2" t="s">
        <v>18</v>
      </c>
      <c r="H1" s="2" t="s">
        <v>5</v>
      </c>
      <c r="I1" s="2" t="s">
        <v>6</v>
      </c>
      <c r="J1" s="2" t="s">
        <v>15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24</v>
      </c>
      <c r="S1" s="16" t="s">
        <v>16</v>
      </c>
      <c r="T1" s="16" t="s">
        <v>20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34</v>
      </c>
      <c r="Z1" s="17" t="s">
        <v>21</v>
      </c>
      <c r="AA1" s="17" t="s">
        <v>22</v>
      </c>
      <c r="AB1" s="17" t="s">
        <v>38</v>
      </c>
      <c r="AC1" s="17" t="s">
        <v>39</v>
      </c>
      <c r="AD1" s="17" t="s">
        <v>40</v>
      </c>
      <c r="AE1" s="17" t="s">
        <v>41</v>
      </c>
      <c r="AF1" s="17" t="s">
        <v>42</v>
      </c>
      <c r="AG1" s="17" t="s">
        <v>43</v>
      </c>
      <c r="AH1" s="6" t="s">
        <v>36</v>
      </c>
      <c r="AI1" s="25">
        <v>0.2</v>
      </c>
      <c r="AK1" s="6" t="s">
        <v>37</v>
      </c>
      <c r="AL1" s="25">
        <v>0.12</v>
      </c>
      <c r="AN1" s="6" t="s">
        <v>19</v>
      </c>
      <c r="AO1" s="7">
        <v>8.5500000000000007E-2</v>
      </c>
      <c r="AQ1" s="6" t="s">
        <v>29</v>
      </c>
      <c r="AR1" s="7">
        <v>1200</v>
      </c>
      <c r="AT1" s="6" t="s">
        <v>30</v>
      </c>
      <c r="AU1" s="7">
        <v>350</v>
      </c>
      <c r="AW1" s="6" t="s">
        <v>31</v>
      </c>
      <c r="AX1" s="7">
        <v>150</v>
      </c>
      <c r="AZ1" s="6" t="s">
        <v>32</v>
      </c>
      <c r="BA1" s="19">
        <v>0.04</v>
      </c>
    </row>
    <row r="2" spans="1:53" x14ac:dyDescent="0.25">
      <c r="A2" s="29" t="s">
        <v>53</v>
      </c>
      <c r="B2" s="9" t="s">
        <v>108</v>
      </c>
      <c r="C2" s="13" t="s">
        <v>33</v>
      </c>
      <c r="D2" s="13" t="s">
        <v>23</v>
      </c>
      <c r="E2" s="14">
        <v>45775</v>
      </c>
      <c r="F2" s="18">
        <v>1</v>
      </c>
      <c r="G2" s="18" t="s">
        <v>48</v>
      </c>
      <c r="H2" s="18" t="s">
        <v>47</v>
      </c>
      <c r="I2" s="18" t="s">
        <v>49</v>
      </c>
      <c r="J2" s="28">
        <v>44951</v>
      </c>
      <c r="K2" s="18" t="s">
        <v>50</v>
      </c>
      <c r="L2" s="18" t="s">
        <v>51</v>
      </c>
      <c r="M2" s="18" t="s">
        <v>46</v>
      </c>
      <c r="N2" s="18">
        <v>30015</v>
      </c>
      <c r="O2" s="18">
        <v>509900</v>
      </c>
      <c r="P2" s="18" t="s">
        <v>45</v>
      </c>
      <c r="Q2" s="30" t="s">
        <v>44</v>
      </c>
      <c r="R2" s="22" t="s">
        <v>52</v>
      </c>
      <c r="S2" s="21">
        <v>8</v>
      </c>
      <c r="T2" s="23">
        <v>45900</v>
      </c>
      <c r="U2" s="10">
        <f>IF(O2="","",IF(C2="Sweden",O2/1.25,IF(C2="Germany",O2/1.19,IF(C2="Spain",O2/1.21,IF(C2="Poland",O2/1.23,IF(C2="France",O2/1.2))))))</f>
        <v>407920</v>
      </c>
      <c r="V2" s="10">
        <f>IF(O2="","",U2*$AO$1)</f>
        <v>34877.160000000003</v>
      </c>
      <c r="W2" s="10">
        <f>IF(O2="","",V2*1.081)</f>
        <v>37702.20996</v>
      </c>
      <c r="X2" s="10">
        <f>IF(O2="","",W2*(1+$BA$1))</f>
        <v>39210.298358400003</v>
      </c>
      <c r="Y2" s="10">
        <f>IF(O2="","",IF(OR(M2="Electric",M2="Hybrid"),(X2+$AR$1+$AX$1+$AU$1),(X2+$AR$1+$AX$1)))</f>
        <v>40560.298358400003</v>
      </c>
      <c r="Z2" s="11">
        <f t="shared" ref="Z2:Z4" si="0">IF(OR(Y2="",T2=""),"",T2-Y2)</f>
        <v>5339.7016415999969</v>
      </c>
      <c r="AA2" s="12">
        <f t="shared" ref="AA2:AA4" si="1">IF(OR(T2="",Y2="",T2=""),"",(T2-Y2)/Y2)</f>
        <v>0.13164848035429083</v>
      </c>
      <c r="AB2" s="11">
        <f t="shared" ref="AB2:AB4" si="2">IF(Y2="","",CEILING(Y2*(1+$AI$1),100))</f>
        <v>48700</v>
      </c>
      <c r="AC2" s="11">
        <f t="shared" ref="AC2:AC4" si="3">IF(AB2="","",AB2-Y2)</f>
        <v>8139.7016415999969</v>
      </c>
      <c r="AD2" s="11">
        <f t="shared" ref="AD2:AD4" si="4">IF(Y2="","",CEILING(Y2*(1+$AL$1),100))</f>
        <v>45500</v>
      </c>
      <c r="AE2" s="11">
        <f t="shared" ref="AE2:AE4" si="5">IF(AD2="","",AD2-Y2)</f>
        <v>4939.7016415999969</v>
      </c>
      <c r="AF2" s="26">
        <f t="shared" ref="AF2:AF4" si="6">IF(OR(T2="",Y2="",T2=""),"",(AA2-$AL$1))</f>
        <v>1.1648480354290836E-2</v>
      </c>
      <c r="AG2" s="27">
        <f t="shared" ref="AG2:AG4" si="7">IF(OR(AD2="",T2=""),"",T2-AD2)</f>
        <v>400</v>
      </c>
      <c r="AH2" s="24"/>
      <c r="AI2" s="24"/>
      <c r="AJ2" s="24"/>
      <c r="AK2" s="24"/>
      <c r="AL2" s="24"/>
      <c r="AM2" s="24"/>
    </row>
    <row r="3" spans="1:53" x14ac:dyDescent="0.25">
      <c r="A3" s="8"/>
      <c r="B3" s="9" t="s">
        <v>109</v>
      </c>
      <c r="C3" s="13" t="s">
        <v>33</v>
      </c>
      <c r="D3" s="13" t="s">
        <v>23</v>
      </c>
      <c r="E3" s="14">
        <v>45775</v>
      </c>
      <c r="F3" s="31">
        <v>2</v>
      </c>
      <c r="G3" s="31" t="s">
        <v>63</v>
      </c>
      <c r="H3" s="31" t="s">
        <v>61</v>
      </c>
      <c r="I3" s="31" t="s">
        <v>62</v>
      </c>
      <c r="J3" s="32">
        <v>45471</v>
      </c>
      <c r="K3" s="31" t="s">
        <v>60</v>
      </c>
      <c r="L3" s="31" t="s">
        <v>51</v>
      </c>
      <c r="M3" s="31" t="s">
        <v>59</v>
      </c>
      <c r="N3" s="31">
        <v>10470</v>
      </c>
      <c r="O3" s="31">
        <v>599900</v>
      </c>
      <c r="P3" s="31" t="s">
        <v>55</v>
      </c>
      <c r="Q3" s="30" t="s">
        <v>58</v>
      </c>
      <c r="R3" s="30" t="s">
        <v>64</v>
      </c>
      <c r="S3" s="21">
        <v>3</v>
      </c>
      <c r="T3" s="23">
        <v>66666</v>
      </c>
      <c r="U3" s="10">
        <f t="shared" ref="U3:U4" si="8">IF(O3="","",IF(C3="Sweden",O3/1.25,IF(C3="Germany",O3/1.19,IF(C3="Spain",O3/1.21,IF(C3="Poland",O3/1.23,IF(C3="France",O3/1.2))))))</f>
        <v>479920</v>
      </c>
      <c r="V3" s="10">
        <f t="shared" ref="V3:V4" si="9">IF(O3="","",U3*$AO$1)</f>
        <v>41033.160000000003</v>
      </c>
      <c r="W3" s="10">
        <f t="shared" ref="W3:W4" si="10">IF(O3="","",V3*1.081)</f>
        <v>44356.845959999999</v>
      </c>
      <c r="X3" s="10">
        <f t="shared" ref="X3:X4" si="11">IF(O3="","",W3*(1+$BA$1))</f>
        <v>46131.119798400003</v>
      </c>
      <c r="Y3" s="10">
        <f t="shared" ref="Y3:Y4" si="12">IF(O3="","",IF(OR(M3="Electric",M3="Hybrid"),(X3+$AR$1+$AX$1+$AU$1),(X3+$AR$1+$AX$1)))</f>
        <v>47831.119798400003</v>
      </c>
      <c r="Z3" s="11">
        <f t="shared" si="0"/>
        <v>18834.880201599997</v>
      </c>
      <c r="AA3" s="12">
        <f t="shared" si="1"/>
        <v>0.3937787842096484</v>
      </c>
      <c r="AB3" s="11">
        <f t="shared" si="2"/>
        <v>57400</v>
      </c>
      <c r="AC3" s="11">
        <f t="shared" si="3"/>
        <v>9568.8802015999972</v>
      </c>
      <c r="AD3" s="11">
        <f t="shared" si="4"/>
        <v>53600</v>
      </c>
      <c r="AE3" s="11">
        <f t="shared" si="5"/>
        <v>5768.8802015999972</v>
      </c>
      <c r="AF3" s="26">
        <f t="shared" si="6"/>
        <v>0.27377878420964841</v>
      </c>
      <c r="AG3" s="27">
        <f t="shared" si="7"/>
        <v>13066</v>
      </c>
      <c r="AH3" s="24"/>
      <c r="AI3" s="24"/>
      <c r="AJ3" s="24"/>
      <c r="AK3" s="24"/>
      <c r="AL3" s="24"/>
      <c r="AM3" s="24"/>
    </row>
    <row r="4" spans="1:53" x14ac:dyDescent="0.25">
      <c r="A4" s="8" t="s">
        <v>120</v>
      </c>
      <c r="B4" s="9" t="s">
        <v>121</v>
      </c>
      <c r="C4" s="13" t="s">
        <v>33</v>
      </c>
      <c r="D4" s="13" t="s">
        <v>23</v>
      </c>
      <c r="E4" s="14">
        <v>45775</v>
      </c>
      <c r="F4" s="31">
        <v>3</v>
      </c>
      <c r="G4" s="31" t="s">
        <v>103</v>
      </c>
      <c r="H4" s="31" t="s">
        <v>92</v>
      </c>
      <c r="I4" s="31" t="s">
        <v>102</v>
      </c>
      <c r="J4" s="32">
        <v>45511</v>
      </c>
      <c r="K4" s="31" t="s">
        <v>101</v>
      </c>
      <c r="L4" s="31" t="s">
        <v>51</v>
      </c>
      <c r="M4" s="31" t="s">
        <v>100</v>
      </c>
      <c r="N4" s="31">
        <v>26500</v>
      </c>
      <c r="O4" s="31">
        <v>1299000</v>
      </c>
      <c r="P4" s="31" t="s">
        <v>55</v>
      </c>
      <c r="Q4" s="30" t="s">
        <v>99</v>
      </c>
      <c r="R4" s="30" t="s">
        <v>104</v>
      </c>
      <c r="S4" s="21">
        <v>11</v>
      </c>
      <c r="T4" s="23">
        <f>(99500+125000+129900)/3</f>
        <v>118133.33333333333</v>
      </c>
      <c r="U4" s="10">
        <f t="shared" si="8"/>
        <v>1039200</v>
      </c>
      <c r="V4" s="10">
        <f t="shared" si="9"/>
        <v>88851.6</v>
      </c>
      <c r="W4" s="10">
        <f t="shared" si="10"/>
        <v>96048.579599999997</v>
      </c>
      <c r="X4" s="10">
        <f t="shared" si="11"/>
        <v>99890.522784000001</v>
      </c>
      <c r="Y4" s="10">
        <f t="shared" si="12"/>
        <v>101240.522784</v>
      </c>
      <c r="Z4" s="11">
        <f t="shared" si="0"/>
        <v>16892.810549333328</v>
      </c>
      <c r="AA4" s="12">
        <f t="shared" si="1"/>
        <v>0.1668581916094477</v>
      </c>
      <c r="AB4" s="11">
        <f t="shared" si="2"/>
        <v>121500</v>
      </c>
      <c r="AC4" s="11">
        <f t="shared" si="3"/>
        <v>20259.477215999999</v>
      </c>
      <c r="AD4" s="11">
        <f t="shared" si="4"/>
        <v>113400</v>
      </c>
      <c r="AE4" s="11">
        <f t="shared" si="5"/>
        <v>12159.477215999999</v>
      </c>
      <c r="AF4" s="26">
        <f t="shared" si="6"/>
        <v>4.6858191609447708E-2</v>
      </c>
      <c r="AG4" s="27">
        <f t="shared" si="7"/>
        <v>4733.3333333333285</v>
      </c>
      <c r="AH4" s="24"/>
      <c r="AI4" s="24"/>
      <c r="AJ4" s="24"/>
      <c r="AK4" s="24"/>
      <c r="AL4" s="24"/>
      <c r="AM4" s="24"/>
    </row>
    <row r="5" spans="1:53" x14ac:dyDescent="0.25">
      <c r="A5" s="8"/>
      <c r="B5" s="9" t="s">
        <v>111</v>
      </c>
      <c r="C5" s="13" t="s">
        <v>17</v>
      </c>
      <c r="D5" s="13" t="s">
        <v>23</v>
      </c>
      <c r="E5" s="14">
        <v>45775</v>
      </c>
      <c r="F5" s="18">
        <v>4</v>
      </c>
      <c r="G5" s="18"/>
      <c r="H5" s="18" t="s">
        <v>47</v>
      </c>
      <c r="I5" s="18" t="s">
        <v>56</v>
      </c>
      <c r="J5" s="28">
        <v>45231</v>
      </c>
      <c r="K5" s="18" t="s">
        <v>50</v>
      </c>
      <c r="L5" s="18" t="s">
        <v>51</v>
      </c>
      <c r="M5" s="18" t="s">
        <v>46</v>
      </c>
      <c r="N5" s="18">
        <v>13376</v>
      </c>
      <c r="O5" s="18">
        <v>51880</v>
      </c>
      <c r="P5" s="18" t="s">
        <v>55</v>
      </c>
      <c r="Q5" s="30" t="s">
        <v>54</v>
      </c>
      <c r="R5" s="30" t="s">
        <v>57</v>
      </c>
      <c r="S5" s="21">
        <v>92</v>
      </c>
      <c r="T5" s="23">
        <v>45900</v>
      </c>
      <c r="U5" s="10">
        <v>43596.638655462186</v>
      </c>
      <c r="V5" s="10">
        <v>41041.8756302521</v>
      </c>
      <c r="W5" s="10">
        <v>44366.267556302519</v>
      </c>
      <c r="X5" s="10">
        <v>46140.918258554622</v>
      </c>
      <c r="Y5" s="10">
        <v>46890.918258554622</v>
      </c>
      <c r="Z5" s="11">
        <v>-990.9182585546223</v>
      </c>
      <c r="AA5" s="12">
        <v>-2.1132413169875224E-2</v>
      </c>
      <c r="AB5" s="11">
        <v>56300</v>
      </c>
      <c r="AC5" s="11">
        <v>9409.0817414453777</v>
      </c>
      <c r="AD5" s="11">
        <v>52600</v>
      </c>
      <c r="AE5" s="11">
        <v>5709.0817414453777</v>
      </c>
      <c r="AF5" s="26">
        <v>-0.14113241316987521</v>
      </c>
      <c r="AG5" s="27">
        <v>-6700</v>
      </c>
      <c r="AH5" s="24"/>
      <c r="AI5" s="24"/>
      <c r="AJ5" s="24"/>
      <c r="AK5" s="24"/>
      <c r="AL5" s="24"/>
      <c r="AM5" s="24"/>
    </row>
    <row r="6" spans="1:53" x14ac:dyDescent="0.25">
      <c r="A6" s="8" t="s">
        <v>113</v>
      </c>
      <c r="B6" s="9" t="s">
        <v>112</v>
      </c>
      <c r="C6" s="13" t="s">
        <v>17</v>
      </c>
      <c r="D6" s="13" t="s">
        <v>23</v>
      </c>
      <c r="E6" s="14">
        <v>45775</v>
      </c>
      <c r="F6" s="18">
        <v>5</v>
      </c>
      <c r="G6" s="18"/>
      <c r="H6" s="31" t="s">
        <v>65</v>
      </c>
      <c r="I6" s="31" t="s">
        <v>70</v>
      </c>
      <c r="J6" s="32">
        <v>45383</v>
      </c>
      <c r="K6" s="31" t="s">
        <v>68</v>
      </c>
      <c r="L6" s="31" t="s">
        <v>51</v>
      </c>
      <c r="M6" s="31" t="s">
        <v>35</v>
      </c>
      <c r="N6" s="31">
        <v>26120</v>
      </c>
      <c r="O6" s="31">
        <v>24290</v>
      </c>
      <c r="P6" s="31" t="s">
        <v>67</v>
      </c>
      <c r="Q6" s="30" t="s">
        <v>69</v>
      </c>
      <c r="R6" s="30" t="s">
        <v>66</v>
      </c>
      <c r="S6" s="21">
        <v>8</v>
      </c>
      <c r="T6" s="23">
        <v>30950</v>
      </c>
      <c r="U6" s="10">
        <v>20411.764705882353</v>
      </c>
      <c r="V6" s="10">
        <v>19215.635294117648</v>
      </c>
      <c r="W6" s="10">
        <v>20772.101752941177</v>
      </c>
      <c r="X6" s="10">
        <v>21602.985823058825</v>
      </c>
      <c r="Y6" s="10">
        <v>22352.985823058825</v>
      </c>
      <c r="Z6" s="11">
        <v>8597.0141769411748</v>
      </c>
      <c r="AA6" s="12">
        <v>0.38460249762573967</v>
      </c>
      <c r="AB6" s="11">
        <v>26900</v>
      </c>
      <c r="AC6" s="11">
        <v>4547.0141769411748</v>
      </c>
      <c r="AD6" s="11">
        <v>25100</v>
      </c>
      <c r="AE6" s="11">
        <v>2747.0141769411748</v>
      </c>
      <c r="AF6" s="26">
        <v>0.26460249762573967</v>
      </c>
      <c r="AG6" s="27">
        <v>5850</v>
      </c>
      <c r="AH6" s="24"/>
      <c r="AI6" s="24"/>
      <c r="AJ6" s="24"/>
      <c r="AK6" s="24"/>
      <c r="AL6" s="24"/>
      <c r="AM6" s="24"/>
    </row>
    <row r="7" spans="1:53" x14ac:dyDescent="0.25">
      <c r="A7" s="8" t="s">
        <v>73</v>
      </c>
      <c r="B7" s="9" t="s">
        <v>112</v>
      </c>
      <c r="C7" s="13" t="s">
        <v>17</v>
      </c>
      <c r="D7" s="13" t="s">
        <v>23</v>
      </c>
      <c r="E7" s="14">
        <v>45775</v>
      </c>
      <c r="F7" s="18">
        <v>6</v>
      </c>
      <c r="G7" s="18"/>
      <c r="H7" s="31" t="s">
        <v>65</v>
      </c>
      <c r="I7" s="31" t="s">
        <v>72</v>
      </c>
      <c r="J7" s="32">
        <v>45383</v>
      </c>
      <c r="K7" s="31" t="s">
        <v>68</v>
      </c>
      <c r="L7" s="31" t="s">
        <v>51</v>
      </c>
      <c r="M7" s="31" t="s">
        <v>35</v>
      </c>
      <c r="N7" s="31">
        <v>26150</v>
      </c>
      <c r="O7" s="31">
        <v>24990</v>
      </c>
      <c r="P7" s="31" t="s">
        <v>55</v>
      </c>
      <c r="Q7" s="30" t="s">
        <v>71</v>
      </c>
      <c r="R7" s="30" t="s">
        <v>66</v>
      </c>
      <c r="S7" s="21">
        <v>8</v>
      </c>
      <c r="T7" s="23">
        <v>30950</v>
      </c>
      <c r="U7" s="10">
        <v>21000</v>
      </c>
      <c r="V7" s="10">
        <v>19769.400000000001</v>
      </c>
      <c r="W7" s="10">
        <v>21370.721400000002</v>
      </c>
      <c r="X7" s="10">
        <v>22225.550256000002</v>
      </c>
      <c r="Y7" s="10">
        <v>22975.550256000002</v>
      </c>
      <c r="Z7" s="11">
        <v>7974.4497439999977</v>
      </c>
      <c r="AA7" s="12">
        <v>0.34708416795882796</v>
      </c>
      <c r="AB7" s="11">
        <v>27600</v>
      </c>
      <c r="AC7" s="11">
        <v>4624.4497439999977</v>
      </c>
      <c r="AD7" s="11">
        <v>25800</v>
      </c>
      <c r="AE7" s="11">
        <v>2824.4497439999977</v>
      </c>
      <c r="AF7" s="26">
        <v>0.22708416795882796</v>
      </c>
      <c r="AG7" s="27">
        <v>5150</v>
      </c>
      <c r="AH7" s="24"/>
      <c r="AI7" s="24"/>
      <c r="AJ7" s="24"/>
      <c r="AK7" s="24"/>
      <c r="AL7" s="24"/>
      <c r="AM7" s="24"/>
    </row>
    <row r="8" spans="1:53" x14ac:dyDescent="0.25">
      <c r="A8" s="8"/>
      <c r="B8" s="9" t="s">
        <v>114</v>
      </c>
      <c r="C8" s="13" t="s">
        <v>17</v>
      </c>
      <c r="D8" s="13" t="s">
        <v>23</v>
      </c>
      <c r="E8" s="14">
        <v>45775</v>
      </c>
      <c r="F8" s="18">
        <v>7</v>
      </c>
      <c r="G8" s="18"/>
      <c r="H8" s="31" t="s">
        <v>76</v>
      </c>
      <c r="I8" s="31" t="s">
        <v>77</v>
      </c>
      <c r="J8" s="32">
        <v>45444</v>
      </c>
      <c r="K8" s="31" t="s">
        <v>75</v>
      </c>
      <c r="L8" s="31" t="s">
        <v>51</v>
      </c>
      <c r="M8" s="31" t="s">
        <v>35</v>
      </c>
      <c r="N8" s="31">
        <v>32239</v>
      </c>
      <c r="O8" s="31">
        <v>33880</v>
      </c>
      <c r="P8" s="31" t="s">
        <v>55</v>
      </c>
      <c r="Q8" s="30" t="s">
        <v>74</v>
      </c>
      <c r="R8" s="30" t="s">
        <v>78</v>
      </c>
      <c r="S8" s="21">
        <v>70</v>
      </c>
      <c r="T8" s="23">
        <v>41990</v>
      </c>
      <c r="U8" s="10">
        <v>28470.588235294119</v>
      </c>
      <c r="V8" s="10">
        <v>26802.211764705884</v>
      </c>
      <c r="W8" s="10">
        <v>28973.190917647058</v>
      </c>
      <c r="X8" s="10">
        <v>30132.118554352943</v>
      </c>
      <c r="Y8" s="10">
        <v>30882.118554352943</v>
      </c>
      <c r="Z8" s="11">
        <v>11107.881445647057</v>
      </c>
      <c r="AA8" s="12">
        <v>0.3596865100461627</v>
      </c>
      <c r="AB8" s="11">
        <v>37100</v>
      </c>
      <c r="AC8" s="11">
        <v>6217.8814456470573</v>
      </c>
      <c r="AD8" s="11">
        <v>34600</v>
      </c>
      <c r="AE8" s="11">
        <v>3717.8814456470573</v>
      </c>
      <c r="AF8" s="26">
        <v>0.2396865100461627</v>
      </c>
      <c r="AG8" s="27">
        <v>7390</v>
      </c>
      <c r="AH8" s="24"/>
      <c r="AI8" s="24"/>
      <c r="AJ8" s="24"/>
      <c r="AK8" s="24"/>
      <c r="AL8" s="24"/>
      <c r="AM8" s="24"/>
    </row>
    <row r="9" spans="1:53" x14ac:dyDescent="0.25">
      <c r="A9" s="8"/>
      <c r="B9" s="9" t="s">
        <v>115</v>
      </c>
      <c r="C9" s="13" t="s">
        <v>17</v>
      </c>
      <c r="D9" s="13" t="s">
        <v>23</v>
      </c>
      <c r="E9" s="14">
        <v>45775</v>
      </c>
      <c r="F9" s="18">
        <v>8</v>
      </c>
      <c r="G9" s="18"/>
      <c r="H9" s="31" t="s">
        <v>79</v>
      </c>
      <c r="I9" s="31" t="s">
        <v>83</v>
      </c>
      <c r="J9" s="32">
        <v>45383</v>
      </c>
      <c r="K9" s="31" t="s">
        <v>82</v>
      </c>
      <c r="L9" s="31" t="s">
        <v>51</v>
      </c>
      <c r="M9" s="31" t="s">
        <v>35</v>
      </c>
      <c r="N9" s="31">
        <v>28100</v>
      </c>
      <c r="O9" s="31">
        <v>134799</v>
      </c>
      <c r="P9" s="31" t="s">
        <v>67</v>
      </c>
      <c r="Q9" s="30" t="s">
        <v>81</v>
      </c>
      <c r="R9" s="30" t="s">
        <v>80</v>
      </c>
      <c r="S9" s="21">
        <v>41</v>
      </c>
      <c r="T9" s="23">
        <v>164900</v>
      </c>
      <c r="U9" s="10">
        <v>113276.4705882353</v>
      </c>
      <c r="V9" s="10">
        <v>106638.46941176472</v>
      </c>
      <c r="W9" s="10">
        <v>115276.18543411765</v>
      </c>
      <c r="X9" s="10">
        <v>119887.23285148236</v>
      </c>
      <c r="Y9" s="10">
        <v>120637.23285148236</v>
      </c>
      <c r="Z9" s="11">
        <v>44262.76714851764</v>
      </c>
      <c r="AA9" s="12">
        <v>0.36690801092072423</v>
      </c>
      <c r="AB9" s="11">
        <v>144800</v>
      </c>
      <c r="AC9" s="11">
        <v>24162.76714851764</v>
      </c>
      <c r="AD9" s="11">
        <v>135200</v>
      </c>
      <c r="AE9" s="11">
        <v>14562.76714851764</v>
      </c>
      <c r="AF9" s="26">
        <v>0.24690801092072423</v>
      </c>
      <c r="AG9" s="27">
        <v>29700</v>
      </c>
      <c r="AH9" s="24"/>
      <c r="AI9" s="24"/>
      <c r="AJ9" s="24"/>
      <c r="AK9" s="24"/>
      <c r="AL9" s="24"/>
      <c r="AM9" s="24"/>
    </row>
    <row r="10" spans="1:53" x14ac:dyDescent="0.25">
      <c r="A10" s="8" t="s">
        <v>117</v>
      </c>
      <c r="B10" s="9" t="s">
        <v>116</v>
      </c>
      <c r="C10" s="13" t="s">
        <v>17</v>
      </c>
      <c r="D10" s="13" t="s">
        <v>23</v>
      </c>
      <c r="E10" s="14">
        <v>45775</v>
      </c>
      <c r="F10" s="18">
        <v>9</v>
      </c>
      <c r="G10" s="18"/>
      <c r="H10" s="18" t="s">
        <v>79</v>
      </c>
      <c r="I10" s="18" t="s">
        <v>87</v>
      </c>
      <c r="J10" s="28">
        <v>45352</v>
      </c>
      <c r="K10" s="18" t="s">
        <v>84</v>
      </c>
      <c r="L10" s="18" t="s">
        <v>51</v>
      </c>
      <c r="M10" s="18" t="s">
        <v>35</v>
      </c>
      <c r="N10" s="18">
        <v>7099</v>
      </c>
      <c r="O10" s="18">
        <v>104980</v>
      </c>
      <c r="P10" s="18" t="s">
        <v>67</v>
      </c>
      <c r="Q10" s="30" t="s">
        <v>86</v>
      </c>
      <c r="R10" s="30" t="s">
        <v>85</v>
      </c>
      <c r="S10" s="21">
        <v>56</v>
      </c>
      <c r="T10" s="23">
        <v>126500</v>
      </c>
      <c r="U10" s="10">
        <v>88218.487394957992</v>
      </c>
      <c r="V10" s="10">
        <v>83048.88403361346</v>
      </c>
      <c r="W10" s="10">
        <v>89775.843640336141</v>
      </c>
      <c r="X10" s="10">
        <v>93366.877385949585</v>
      </c>
      <c r="Y10" s="10">
        <v>94116.877385949585</v>
      </c>
      <c r="Z10" s="11">
        <v>32383.122614050415</v>
      </c>
      <c r="AA10" s="12">
        <v>0.34407349152963707</v>
      </c>
      <c r="AB10" s="11">
        <v>113000</v>
      </c>
      <c r="AC10" s="11">
        <v>18883.122614050415</v>
      </c>
      <c r="AD10" s="11">
        <v>105500</v>
      </c>
      <c r="AE10" s="11">
        <v>11383.122614050415</v>
      </c>
      <c r="AF10" s="26">
        <v>0.22407349152963707</v>
      </c>
      <c r="AG10" s="27">
        <v>21000</v>
      </c>
      <c r="AH10" s="24"/>
      <c r="AI10" s="24"/>
      <c r="AJ10" s="24"/>
      <c r="AK10" s="24"/>
      <c r="AL10" s="24"/>
      <c r="AM10" s="24"/>
    </row>
    <row r="11" spans="1:53" x14ac:dyDescent="0.25">
      <c r="A11" s="8"/>
      <c r="B11" s="9" t="s">
        <v>118</v>
      </c>
      <c r="C11" s="13" t="s">
        <v>17</v>
      </c>
      <c r="D11" s="13" t="s">
        <v>23</v>
      </c>
      <c r="E11" s="14">
        <v>45765</v>
      </c>
      <c r="F11" s="18">
        <v>10</v>
      </c>
      <c r="G11" s="18"/>
      <c r="H11" s="18" t="s">
        <v>92</v>
      </c>
      <c r="I11" s="18" t="s">
        <v>93</v>
      </c>
      <c r="J11" s="28">
        <v>45383</v>
      </c>
      <c r="K11" s="18" t="s">
        <v>91</v>
      </c>
      <c r="L11" s="18" t="s">
        <v>51</v>
      </c>
      <c r="M11" s="18" t="s">
        <v>35</v>
      </c>
      <c r="N11" s="18">
        <v>12100</v>
      </c>
      <c r="O11" s="18">
        <v>77900</v>
      </c>
      <c r="P11" s="18" t="s">
        <v>90</v>
      </c>
      <c r="Q11" s="30" t="s">
        <v>89</v>
      </c>
      <c r="R11" s="30" t="s">
        <v>98</v>
      </c>
      <c r="S11" s="21">
        <v>49</v>
      </c>
      <c r="T11" s="23">
        <v>79800</v>
      </c>
      <c r="U11" s="10">
        <v>65462.184873949584</v>
      </c>
      <c r="V11" s="10">
        <v>61626.100840336141</v>
      </c>
      <c r="W11" s="10">
        <v>66617.81500840337</v>
      </c>
      <c r="X11" s="10">
        <v>69282.527608739503</v>
      </c>
      <c r="Y11" s="10">
        <v>70032.527608739503</v>
      </c>
      <c r="Z11" s="11">
        <v>9767.4723912604968</v>
      </c>
      <c r="AA11" s="12">
        <v>0.13947051070082458</v>
      </c>
      <c r="AB11" s="11">
        <v>84100</v>
      </c>
      <c r="AC11" s="11">
        <v>14067.472391260497</v>
      </c>
      <c r="AD11" s="11">
        <v>78500</v>
      </c>
      <c r="AE11" s="11">
        <v>8467.4723912604968</v>
      </c>
      <c r="AF11" s="26">
        <v>1.9470510700824589E-2</v>
      </c>
      <c r="AG11" s="27">
        <v>1300</v>
      </c>
      <c r="AH11" s="24"/>
      <c r="AI11" s="24"/>
      <c r="AJ11" s="24"/>
      <c r="AK11" s="24"/>
      <c r="AL11" s="24"/>
      <c r="AM11" s="24"/>
    </row>
    <row r="12" spans="1:53" x14ac:dyDescent="0.25">
      <c r="A12" s="8"/>
      <c r="B12" s="9" t="s">
        <v>119</v>
      </c>
      <c r="C12" s="13" t="s">
        <v>17</v>
      </c>
      <c r="D12" s="13" t="s">
        <v>23</v>
      </c>
      <c r="E12" s="14">
        <v>45766</v>
      </c>
      <c r="F12" s="18">
        <v>11</v>
      </c>
      <c r="G12" s="18"/>
      <c r="H12" s="31" t="s">
        <v>79</v>
      </c>
      <c r="I12" s="31" t="s">
        <v>96</v>
      </c>
      <c r="J12" s="32">
        <v>45292</v>
      </c>
      <c r="K12" s="31" t="s">
        <v>95</v>
      </c>
      <c r="L12" s="31" t="s">
        <v>51</v>
      </c>
      <c r="M12" s="31" t="s">
        <v>46</v>
      </c>
      <c r="N12" s="31">
        <v>30557</v>
      </c>
      <c r="O12" s="31">
        <v>45880</v>
      </c>
      <c r="P12" s="18" t="s">
        <v>88</v>
      </c>
      <c r="Q12" s="30" t="s">
        <v>94</v>
      </c>
      <c r="R12" s="30" t="s">
        <v>97</v>
      </c>
      <c r="S12" s="21">
        <v>5</v>
      </c>
      <c r="T12" s="23">
        <v>53900</v>
      </c>
      <c r="U12" s="10">
        <v>38554.621848739494</v>
      </c>
      <c r="V12" s="10">
        <v>36295.321008403364</v>
      </c>
      <c r="W12" s="10">
        <v>39235.242010084032</v>
      </c>
      <c r="X12" s="10">
        <v>40804.651690487393</v>
      </c>
      <c r="Y12" s="10">
        <v>41554.651690487393</v>
      </c>
      <c r="Z12" s="11">
        <v>12345.348309512607</v>
      </c>
      <c r="AA12" s="12">
        <v>0.29708703616299781</v>
      </c>
      <c r="AB12" s="11">
        <v>49900</v>
      </c>
      <c r="AC12" s="11">
        <v>8345.3483095126066</v>
      </c>
      <c r="AD12" s="11">
        <v>46600</v>
      </c>
      <c r="AE12" s="11">
        <v>5045.3483095126066</v>
      </c>
      <c r="AF12" s="26">
        <v>0.17708703616299781</v>
      </c>
      <c r="AG12" s="27">
        <v>7300</v>
      </c>
      <c r="AH12" s="24"/>
      <c r="AI12" s="24"/>
      <c r="AJ12" s="24"/>
      <c r="AK12" s="24"/>
      <c r="AL12" s="24"/>
      <c r="AM12" s="24"/>
    </row>
    <row r="13" spans="1:53" x14ac:dyDescent="0.25">
      <c r="A13" s="8"/>
      <c r="B13" s="9" t="s">
        <v>110</v>
      </c>
      <c r="C13" s="13" t="s">
        <v>17</v>
      </c>
      <c r="D13" s="13" t="s">
        <v>23</v>
      </c>
      <c r="E13" s="14">
        <v>45771</v>
      </c>
      <c r="F13" s="18">
        <v>12</v>
      </c>
      <c r="G13" s="18"/>
      <c r="H13" s="18" t="s">
        <v>92</v>
      </c>
      <c r="I13" s="18" t="s">
        <v>107</v>
      </c>
      <c r="J13" s="28">
        <v>45352</v>
      </c>
      <c r="K13" s="18" t="s">
        <v>101</v>
      </c>
      <c r="L13" s="18" t="s">
        <v>51</v>
      </c>
      <c r="M13" s="18" t="s">
        <v>35</v>
      </c>
      <c r="N13" s="18">
        <v>27890</v>
      </c>
      <c r="O13" s="18">
        <v>99950</v>
      </c>
      <c r="P13" s="18" t="s">
        <v>106</v>
      </c>
      <c r="Q13" s="30" t="s">
        <v>105</v>
      </c>
      <c r="R13" s="30" t="s">
        <v>104</v>
      </c>
      <c r="S13" s="21">
        <v>11</v>
      </c>
      <c r="T13" s="23">
        <v>118133.33333333333</v>
      </c>
      <c r="U13" s="10">
        <v>83991.596638655465</v>
      </c>
      <c r="V13" s="10">
        <v>79069.68907563026</v>
      </c>
      <c r="W13" s="10">
        <v>85474.333890756301</v>
      </c>
      <c r="X13" s="10">
        <v>88893.307246386554</v>
      </c>
      <c r="Y13" s="10">
        <v>89643.307246386554</v>
      </c>
      <c r="Z13" s="11">
        <v>28490.026086946775</v>
      </c>
      <c r="AA13" s="12">
        <v>0.31781542830231962</v>
      </c>
      <c r="AB13" s="11">
        <v>107600</v>
      </c>
      <c r="AC13" s="11">
        <v>17956.692753613446</v>
      </c>
      <c r="AD13" s="11">
        <v>100500</v>
      </c>
      <c r="AE13" s="11">
        <v>10856.692753613446</v>
      </c>
      <c r="AF13" s="26">
        <v>0.19781542830231963</v>
      </c>
      <c r="AG13" s="27">
        <v>17633.333333333328</v>
      </c>
      <c r="AH13" s="24"/>
      <c r="AI13" s="24"/>
      <c r="AJ13" s="24"/>
      <c r="AK13" s="24"/>
      <c r="AL13" s="24"/>
      <c r="AM13" s="24"/>
    </row>
  </sheetData>
  <conditionalFormatting sqref="Z2:AE13 AH2:AM13">
    <cfRule type="cellIs" dxfId="1" priority="3" operator="lessThan">
      <formula>0</formula>
    </cfRule>
    <cfRule type="cellIs" dxfId="0" priority="4" operator="greaterThan">
      <formula>0</formula>
    </cfRule>
  </conditionalFormatting>
  <hyperlinks>
    <hyperlink ref="A2" r:id="rId1" display="https://suchen.mobile.de/fahrzeuge/details.html?id=423303900&amp;ao=PICTURES&amp;cn=DE&amp;dam=false&amp;fr=2023%3A&amp;ft=DIESEL&amp;icol=BEIGE&amp;icol=BLUE&amp;icol=BROWN&amp;icol=GREY&amp;icol=OTHER_INTERIOR_COLOR&amp;icol=RED&amp;isSearchRequest=true&amp;ml=%3A40000&amp;ms=1900%3B32%3B%3B&amp;od=up&amp;pw=150%3A150&amp;ref=srp&amp;refId=561357b9-ae25-1dab-9676-dbb78bb13d3e&amp;s=Car&amp;sb=p&amp;searchId=561357b9-ae25-1dab-9676-dbb78bb13d3e&amp;st=DEALER&amp;tr=AUTOMATIC_GEAR&amp;vc=Car" xr:uid="{A85AFF72-EE0B-4911-9923-8EF7273B0451}"/>
    <hyperlink ref="R4" r:id="rId2" display="https://www.autoscout24.ch/de/s/mo-x5/mk-bmw?firstRegistrationYearFrom=2024&amp;mileageTo=40000&amp;fuelTypeGroups%5B0=&amp;transmissionTypeGroups%5B0%5D=automatic&amp;hadNoAccidentOnly=true&amp;fuelTypes%5B0%5D=petrol&amp;fuelTypes%5B1%5D=mhev-petrol&amp;horsePowerFrom=520&amp;sort%5B0%5D%5Btype%5D=PRICE&amp;sort%5B0%5D%5Border%5D=ASC" xr:uid="{A163A63D-78F8-4406-B45B-29FD14EF15D9}"/>
    <hyperlink ref="Q2" r:id="rId3" xr:uid="{E4D487DB-574D-4B37-B603-E357459CE53B}"/>
    <hyperlink ref="Q3" r:id="rId4" xr:uid="{96DF51E3-7F73-4DE6-8A28-FAEDD2F24B3A}"/>
    <hyperlink ref="Q4" r:id="rId5" xr:uid="{E49BC87C-3808-4D60-B3D0-A9E77DFD4358}"/>
    <hyperlink ref="R3" r:id="rId6" display="https://www.autoscout24.ch/de/s/mo-sorento/mk-kia?firstRegistrationYearFrom=2024&amp;mileageTo=40000&amp;fuelTypeGroups%5B0=&amp;transmissionTypeGroups%5B0%5D=automatic&amp;hadNoAccidentOnly=true&amp;seatsFrom=7&amp;fuelTypes%5B0%5D=phev-petrol&amp;fuelTypes%5B1%5D=petrol&amp;fuelTypes%5B2%5D=hev-petrol&amp;sort%5B0%5D%5Btype%5D=PRICE&amp;sort%5B0%5D%5Border%5D=ASC" xr:uid="{A3B9119B-5639-4EE0-A3DA-11B39B7C9F10}"/>
    <hyperlink ref="Q5" r:id="rId7" display="https://suchen.mobile.de/fahrzeuge/details.html?id=416718897&amp;ao=PICTURES&amp;cn=DE&amp;dam=false&amp;fr=2023%3A&amp;ft=DIESEL&amp;icol=BEIGE&amp;icol=BLUE&amp;icol=BROWN&amp;icol=GREY&amp;icol=OTHER_INTERIOR_COLOR&amp;icol=RED&amp;isSearchRequest=true&amp;ml=%3A40000&amp;ms=1900%3B32%3B%3B&amp;od=up&amp;pw=150%3A150&amp;ref=srp&amp;refId=561357b9-ae25-1dab-9676-dbb78bb13d3e&amp;s=Car&amp;sb=p&amp;searchId=561357b9-ae25-1dab-9676-dbb78bb13d3e&amp;st=DEALER&amp;tr=AUTOMATIC_GEAR&amp;vc=Car" xr:uid="{E0F13170-BD66-4F55-8995-8BC360603C4F}"/>
    <hyperlink ref="Q6" r:id="rId8" display="https://suchen.mobile.de/fahrzeuge/details.html?id=422764174&amp;ao=PICTURES&amp;c=EstateCar&amp;cn=DE&amp;dam=false&amp;fr=2023%3A&amp;ft=HYBRID&amp;ft=PETROL&amp;isSearchRequest=true&amp;ml=%3A30000&amp;ms=11600%3B30%3B%3Bn+line&amp;od=up&amp;pw=118%3A118&amp;ref=srp&amp;refId=266eba24-061b-a96f-34d2-9712db1b0406&amp;s=Car&amp;sb=p&amp;searchId=266eba24-061b-a96f-34d2-9712db1b0406&amp;st=DEALER&amp;tr=AUTOMATIC_GEAR&amp;vc=Car" xr:uid="{79573FC4-F7CC-4465-9B3B-23BDD9C87F0A}"/>
    <hyperlink ref="Q7" r:id="rId9" display="https://suchen.mobile.de/fahrzeuge/details.html?id=423397390&amp;ao=PICTURES&amp;c=EstateCar&amp;cn=DE&amp;dam=false&amp;fr=2023%3A&amp;ft=HYBRID&amp;ft=PETROL&amp;isSearchRequest=true&amp;ml=%3A30000&amp;ms=11600%3B30%3B%3Bn+line&amp;od=up&amp;pw=118%3A118&amp;ref=srp&amp;refId=266eba24-061b-a96f-34d2-9712db1b0406&amp;s=Car&amp;sb=p&amp;searchId=266eba24-061b-a96f-34d2-9712db1b0406&amp;st=DEALER&amp;tr=AUTOMATIC_GEAR&amp;vc=Car" xr:uid="{0BBC451C-361A-437B-8A03-6AF7727870C9}"/>
    <hyperlink ref="Q8" r:id="rId10" display="https://suchen.mobile.de/fahrzeuge/details.html?id=423520448&amp;ao=PICTURES&amp;cn=DE&amp;dam=false&amp;fr=2024%3A2024&amp;ft=PETROL&amp;isSearchRequest=true&amp;ml=%3A40000&amp;ms=900%3B16%3B%3B&amp;od=up&amp;ref=srp&amp;refId=e1c064e7-96f5-0359-68dc-74c0ecdaaf70&amp;s=Car&amp;sb=p&amp;searchId=e1c064e7-96f5-0359-68dc-74c0ecdaaf70&amp;st=DEALER&amp;tr=AUTOMATIC_GEAR&amp;vc=Car" xr:uid="{EC703751-54D2-41CA-9AAF-9FF647CEC942}"/>
    <hyperlink ref="Q9" r:id="rId11" display="https://suchen.mobile.de/fahrzeuge/details.html?id=423280637&amp;action=eyeCatcher&amp;ao=PICTURES&amp;cn=DE&amp;dam=false&amp;door=TWO_OR_THREE&amp;fr=2024%3A&amp;ft=PETROL&amp;isSearchRequest=true&amp;ml=%3A40000&amp;ms=17200%3B242%3B%3B55&amp;od=up&amp;pw=270%3A&amp;ref=srp&amp;refId=c11a9dea-9077-e3a1-c5b1-ff360cb84628&amp;s=Car&amp;sb=p&amp;searchId=c11a9dea-9077-e3a1-c5b1-ff360cb84628&amp;st=DEALER&amp;tr=AUTOMATIC_GEAR&amp;vc=Car" xr:uid="{622AE2B6-720D-40DA-B322-2E988F8B6CB1}"/>
    <hyperlink ref="Q10" r:id="rId12" display="https://suchen.mobile.de/fahrzeuge/details.html?id=403162447&amp;ao=PICTURES&amp;cn=DE&amp;dam=false&amp;fr=2024%3A&amp;ft=PETROL&amp;icol=BEIGE&amp;icol=BLUE&amp;icol=BROWN&amp;icol=GREY&amp;icol=RED&amp;isSearchRequest=true&amp;ml=%3A40000&amp;ms=17200%3B242%3B%3B&amp;od=up&amp;pw=270%3A&amp;ref=srp&amp;refId=443942b4-b994-5b09-d8e7-a00a23fb56c3&amp;s=Car&amp;sb=p&amp;searchId=443942b4-b994-5b09-d8e7-a00a23fb56c3&amp;st=DEALER&amp;tr=AUTOMATIC_GEAR&amp;vc=Car" xr:uid="{7290CC33-1159-48FB-8950-34903DBB23A2}"/>
    <hyperlink ref="Q11" r:id="rId13" display="https://suchen.mobile.de/fahrzeuge/details.html?id=411065674&amp;ao=PICTURES&amp;c=SportsCar&amp;cn=DE&amp;dam=false&amp;fr=2024%3A&amp;ft=PETROL&amp;icol=BEIGE&amp;icol=OTHER_INTERIOR_COLOR&amp;isSearchRequest=true&amp;ml=%3A40000&amp;ms=3500%3B93%3B%3B&amp;od=up&amp;pw=375%3A375&amp;ref=srp&amp;refId=a8e2bddd-f7ed-9760-4578-f7089f19bff0&amp;s=Car&amp;sb=p&amp;searchId=a8e2bddd-f7ed-9760-4578-f7089f19bff0&amp;st=DEALER&amp;tr=AUTOMATIC_GEAR&amp;vc=Car" xr:uid="{225732E6-3412-4719-90CA-C623357237FD}"/>
    <hyperlink ref="Q12" r:id="rId14" display="https://suchen.mobile.de/fahrzeuge/details.html?id=417319221&amp;ao=PICTURES&amp;c=Limousine&amp;cn=DE&amp;dam=false&amp;fr=2022%3A&amp;ft=DIESEL&amp;icol=GREY&amp;isSearchRequest=true&amp;ml=%3A60000&amp;ms=17200%3B19%3B%3B&amp;od=up&amp;pw=140%3A151&amp;ref=srp&amp;refId=938b3434-7d5e-461d-60d1-6970099ab36e&amp;s=Car&amp;sb=p&amp;searchId=938b3434-7d5e-461d-60d1-6970099ab36e&amp;st=DEALER&amp;tr=AUTOMATIC_GEAR&amp;vc=Car" xr:uid="{AEEFF935-31C0-443D-9727-77D77C7EEB22}"/>
    <hyperlink ref="Q13" r:id="rId15" display="https://suchen.mobile.de/fahrzeuge/details.html?id=417164285&amp;ao=PICTURES&amp;cn=DE&amp;dam=false&amp;fr=2024%3A2025&amp;ft=PETROL&amp;isSearchRequest=true&amp;ml=%3A40000&amp;ms=3500%3B49%3B%3B&amp;od=up&amp;pw=390%3A&amp;ref=srp&amp;refId=63b6ef8a-e124-fcc6-4d9c-99fd9b9fef9b&amp;s=Car&amp;sb=p&amp;searchId=63b6ef8a-e124-fcc6-4d9c-99fd9b9fef9b&amp;st=DEALER&amp;tr=AUTOMATIC_GEAR&amp;vc=Car" xr:uid="{C340690D-71D5-4379-9FDE-C1F0ECBFE885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SWE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</dc:creator>
  <cp:lastModifiedBy>Štěpán Karásek</cp:lastModifiedBy>
  <dcterms:created xsi:type="dcterms:W3CDTF">2023-01-09T15:29:06Z</dcterms:created>
  <dcterms:modified xsi:type="dcterms:W3CDTF">2025-04-30T12:26:49Z</dcterms:modified>
</cp:coreProperties>
</file>